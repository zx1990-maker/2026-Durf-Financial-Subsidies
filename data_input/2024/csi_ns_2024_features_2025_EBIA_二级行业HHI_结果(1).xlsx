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11e00f1784d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数据" sheetId="1" r:id="Rdc55e666e2e04489"/>
    <x:sheet xmlns:r="http://schemas.openxmlformats.org/officeDocument/2006/relationships" name="计算结果" sheetId="2" r:id="Rf324ffff6a254d2b"/>
    <x:sheet xmlns:r="http://schemas.openxmlformats.org/officeDocument/2006/relationships" name="计算结果_数值版" sheetId="3" r:id="Re8fcddb0dca04430"/>
    <x:sheet xmlns:r="http://schemas.openxmlformats.org/officeDocument/2006/relationships" name="行业HHI汇总" sheetId="4" r:id="Rb63679038cfa4ae3"/>
    <x:sheet xmlns:r="http://schemas.openxmlformats.org/officeDocument/2006/relationships" name="计算说明" sheetId="5" r:id="R86850cdb5e58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0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0"/>
    </x:xf>
    <x:xf numFmtId="0" fontId="1" fillId="3" borderId="1" xfId="0" applyNumberFormat="1" applyFont="1" applyFill="1" applyBorder="1" applyAlignment="1">
      <x:alignment horizontal="center" vertical="center" wrapText="0"/>
    </x:xf>
    <x:xf numFmtId="200" fontId="1" fillId="2" borderId="0" xfId="0" applyNumberFormat="1" applyFont="1" applyFill="1" applyBorder="1" applyAlignment="1">
      <x:alignment horizontal="center" vertical="center" wrapText="0"/>
    </x:xf>
    <x:xf numFmtId="200" fontId="1" fillId="2" borderId="1" xfId="0" applyNumberFormat="1" applyFont="1" applyFill="1" applyBorder="1" applyAlignment="1">
      <x:alignment horizontal="center" vertical="center" wrapText="0"/>
    </x:xf>
    <x:xf numFmtId="201" fontId="1" fillId="2" borderId="0" xfId="0" applyNumberFormat="1" applyFont="1" applyFill="1" applyBorder="1" applyAlignment="1">
      <x:alignment horizontal="center" vertical="center" wrapText="0"/>
    </x:xf>
    <x:xf numFmtId="201" fontId="1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80c65586a45f0" /><Relationship Type="http://schemas.openxmlformats.org/officeDocument/2006/relationships/theme" Target="/xl/theme/theme1.xml" Id="Rd501ecf37c8e40b0" /><Relationship Type="http://schemas.openxmlformats.org/officeDocument/2006/relationships/sharedStrings" Target="/xl/sharedStrings.xml" Id="R0842b25a321a431b" /><Relationship Type="http://schemas.openxmlformats.org/officeDocument/2006/relationships/worksheet" Target="/xl/worksheets/sheet1.xml" Id="Rdc55e666e2e04489" /><Relationship Type="http://schemas.openxmlformats.org/officeDocument/2006/relationships/worksheet" Target="/xl/worksheets/sheet2.xml" Id="Rf324ffff6a254d2b" /><Relationship Type="http://schemas.openxmlformats.org/officeDocument/2006/relationships/worksheet" Target="/xl/worksheets/sheet3.xml" Id="Re8fcddb0dca04430" /><Relationship Type="http://schemas.openxmlformats.org/officeDocument/2006/relationships/worksheet" Target="/xl/worksheets/sheet4.xml" Id="Rb63679038cfa4ae3" /><Relationship Type="http://schemas.openxmlformats.org/officeDocument/2006/relationships/worksheet" Target="/xl/worksheets/sheet5.xml" Id="R86850cdb5e584ec2" /></Relationships>
</file>

<file path=xl/tables/table1.xml><?xml version="1.0" encoding="utf-8"?>
<x:table xmlns:x="http://schemas.openxmlformats.org/spreadsheetml/2006/main" id="1" name="RawDataTable" displayName="RawDataTable" ref="A1:R99" headerRowCount="1">
  <x:tableColumns count="18">
    <x:tableColumn id="1" name="证券代码"/>
    <x:tableColumn id="2" name="证券简称"/>
    <x:tableColumn id="3" name="利息支出&#13;&#10;[报告期] 2025年报&#13;&#10;[报表类型] 合并报表&#13;&#10;[币种] 原始币种&#13;&#10;[单位] 元"/>
    <x:tableColumn id="4" name="归属母公司股东的净利润&#13;&#10;[报告期] 2025年报&#13;&#10;[报表类型] 合并报表&#13;&#10;[币种] 原始币种&#13;&#10;[单位] 元"/>
    <x:tableColumn id="5" name="资产总计&#13;&#10;[报告期] 2025年报&#13;&#10;[报表类型] 合并报表&#13;&#10;[币种] 原始币种&#13;&#10;[单位] 元"/>
    <x:tableColumn id="6" name="利息支出&#13;&#10;[报告期] 2024年报&#13;&#10;[报表类型] 合并报表&#13;&#10;[币种] 原始币种&#13;&#10;[单位] 元↓"/>
    <x:tableColumn id="7" name="归属母公司股东的净利润&#13;&#10;[报告期] 2024年报&#13;&#10;[报表类型] 合并报表&#13;&#10;[币种] 原始币种&#13;&#10;[单位] 元"/>
    <x:tableColumn id="8" name="资产总计&#13;&#10;[报告期] 2024年报&#13;&#10;[报表类型] 合并报表&#13;&#10;[币种] 原始币种&#13;&#10;[单位] 元"/>
    <x:tableColumn id="9" name="资产总计&#13;&#10;[报告期] 2023年报&#13;&#10;[报表类型] 合并报表&#13;&#10;[币种] 原始币种&#13;&#10;[单位] 元"/>
    <x:tableColumn id="10" name="流动资产合计&#13;&#10;[报告期] 2024年报&#13;&#10;[报表类型] 合并报表&#13;&#10;[币种] 原始币种&#13;&#10;[单位] 元"/>
    <x:tableColumn id="11" name="营业收入&#13;&#10;[报告期] 2024年报&#13;&#10;[报表类型] 合并报表&#13;&#10;[币种] 原始币种&#13;&#10;[单位] 元"/>
    <x:tableColumn id="12" name="流动负债合计&#13;&#10;[报告期] 2024年报&#13;&#10;[报表类型] 合并报表&#13;&#10;[币种] 原始币种&#13;&#10;[单位] 元"/>
    <x:tableColumn id="13" name="固定资产净值&#13;&#10;[报告期] 2024年报&#13;&#10;[报表类型] 合并报表&#13;&#10;[币种] 原始币种&#13;&#10;[单位] 元"/>
    <x:tableColumn id="14" name="负债合计&#13;&#10;[报告期] 2024年报&#13;&#10;[报表类型] 合并报表&#13;&#10;[币种] 原始币种&#13;&#10;[单位] 元"/>
    <x:tableColumn id="15" name="营业收入&#13;&#10;[报告期] 2024年报&#13;&#10;[报表类型] 合并报表&#13;&#10;[币种] 原始币种&#13;&#10;[单位] 元.1"/>
    <x:tableColumn id="16" name="资本性支出&#13;&#10;[报告期] 2024年报&#13;&#10;[报表类型] 合并报表&#13;&#10;[币种] 原始币种&#13;&#10;[单位] 元"/>
    <x:tableColumn id="17" name="企业所有制性质&#13;&#10;[交易日期] 最新收盘日"/>
    <x:tableColumn id="18" name="所属Wind行业名称(2024)&#13;&#10;[交易日期] 最新收盘日&#13;&#10;[行业级别] 全部明细"/>
  </x:tableColumns>
  <x:tableStyleInfo name="TableStyleMedium2" showRowStripes="1"/>
</x:table>
</file>

<file path=xl/tables/table2.xml><?xml version="1.0" encoding="utf-8"?>
<x:table xmlns:x="http://schemas.openxmlformats.org/spreadsheetml/2006/main" id="2" name="CalcFormulaTable" displayName="CalcFormulaTable" ref="A1:AC99" headerRowCount="1">
  <x:tableColumns count="29">
    <x:tableColumn id="1" name="证券代码"/>
    <x:tableColumn id="2" name="证券简称"/>
    <x:tableColumn id="3" name="企业所有制性质"/>
    <x:tableColumn id="4" name="行业全路径"/>
    <x:tableColumn id="5" name="二级行业"/>
    <x:tableColumn id="6" name="利息支出_2025"/>
    <x:tableColumn id="7" name="归母净利润_2025"/>
    <x:tableColumn id="8" name="资产总计_2025"/>
    <x:tableColumn id="9" name="利息支出_2024"/>
    <x:tableColumn id="10" name="归母净利润_2024"/>
    <x:tableColumn id="11" name="资产总计_2024"/>
    <x:tableColumn id="12" name="资产总计_2023"/>
    <x:tableColumn id="13" name="流动资产_2024"/>
    <x:tableColumn id="14" name="营业收入_2024"/>
    <x:tableColumn id="15" name="流动负债_2024"/>
    <x:tableColumn id="16" name="固定资产净值_2024"/>
    <x:tableColumn id="17" name="负债合计_2024"/>
    <x:tableColumn id="18" name="资本性支出_2024"/>
    <x:tableColumn id="19" name="EBI/A_2025"/>
    <x:tableColumn id="20" name="FirmSize_2024"/>
    <x:tableColumn id="21" name="MarketShare_2024_二级行业"/>
    <x:tableColumn id="22" name="MarketShare平方_辅助列"/>
    <x:tableColumn id="23" name="HHI_2024_二级行业"/>
    <x:tableColumn id="24" name="AssetTurnover_2024"/>
    <x:tableColumn id="25" name="WorkingCapitalRatio_2024"/>
    <x:tableColumn id="26" name="FixedAssetsRatio_2024"/>
    <x:tableColumn id="27" name="FinancialLeverage_2024"/>
    <x:tableColumn id="28" name="CurrentRatio_2024"/>
    <x:tableColumn id="29" name="CapexRatio_2024"/>
  </x:tableColumns>
  <x:tableStyleInfo name="TableStyleMedium2" showRowStripes="1"/>
</x:table>
</file>

<file path=xl/tables/table3.xml><?xml version="1.0" encoding="utf-8"?>
<x:table xmlns:x="http://schemas.openxmlformats.org/spreadsheetml/2006/main" id="3" name="CalcValueTable" displayName="CalcValueTable" ref="A1:AC99" headerRowCount="1">
  <x:tableColumns count="29">
    <x:tableColumn id="1" name="证券代码"/>
    <x:tableColumn id="2" name="证券简称"/>
    <x:tableColumn id="3" name="企业所有制性质"/>
    <x:tableColumn id="4" name="行业全路径"/>
    <x:tableColumn id="5" name="二级行业"/>
    <x:tableColumn id="6" name="利息支出_2025"/>
    <x:tableColumn id="7" name="归母净利润_2025"/>
    <x:tableColumn id="8" name="资产总计_2025"/>
    <x:tableColumn id="9" name="利息支出_2024"/>
    <x:tableColumn id="10" name="归母净利润_2024"/>
    <x:tableColumn id="11" name="资产总计_2024"/>
    <x:tableColumn id="12" name="资产总计_2023"/>
    <x:tableColumn id="13" name="流动资产_2024"/>
    <x:tableColumn id="14" name="营业收入_2024"/>
    <x:tableColumn id="15" name="流动负债_2024"/>
    <x:tableColumn id="16" name="固定资产净值_2024"/>
    <x:tableColumn id="17" name="负债合计_2024"/>
    <x:tableColumn id="18" name="资本性支出_2024"/>
    <x:tableColumn id="19" name="EBI/A_2025"/>
    <x:tableColumn id="20" name="FirmSize_2024"/>
    <x:tableColumn id="21" name="MarketShare_2024_二级行业"/>
    <x:tableColumn id="22" name="MarketShare平方_辅助列"/>
    <x:tableColumn id="23" name="HHI_2024_二级行业"/>
    <x:tableColumn id="24" name="AssetTurnover_2024"/>
    <x:tableColumn id="25" name="WorkingCapitalRatio_2024"/>
    <x:tableColumn id="26" name="FixedAssetsRatio_2024"/>
    <x:tableColumn id="27" name="FinancialLeverage_2024"/>
    <x:tableColumn id="28" name="CurrentRatio_2024"/>
    <x:tableColumn id="29" name="CapexRatio_2024"/>
  </x:tableColumns>
  <x:tableStyleInfo name="TableStyleMedium2" showRowStripes="1"/>
</x:table>
</file>

<file path=xl/tables/table4.xml><?xml version="1.0" encoding="utf-8"?>
<x:table xmlns:x="http://schemas.openxmlformats.org/spreadsheetml/2006/main" id="4" name="IndustryHHITable" displayName="IndustryHHITable" ref="A1:E18" headerRowCount="1">
  <x:tableColumns count="5">
    <x:tableColumn id="1" name="二级行业"/>
    <x:tableColumn id="2" name="公司数"/>
    <x:tableColumn id="3" name="有效营业收入公司数"/>
    <x:tableColumn id="4" name="行业总收入_2024"/>
    <x:tableColumn id="5" name="HHI_2024_二级行业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2e079526974b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42c99ce56f43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0058e763a744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2ba141b16f74a4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63.93000030517578" hidden="0" customWidth="1"/>
    <x:col min="4" max="4" width="77.66000366210938" hidden="0" customWidth="1"/>
    <x:col min="5" max="5" width="63.93000030517578" hidden="0" customWidth="1"/>
    <x:col min="6" max="6" width="65.68000030517578" hidden="0" customWidth="1"/>
    <x:col min="7" max="7" width="77.66000366210938" hidden="0" customWidth="1"/>
    <x:col min="8" max="8" width="63.93000030517578" hidden="0" customWidth="1"/>
    <x:col min="9" max="9" width="63.93000030517578" hidden="0" customWidth="1"/>
    <x:col min="10" max="10" width="67.83000183105469" hidden="0" customWidth="1"/>
    <x:col min="11" max="11" width="63.93000030517578" hidden="0" customWidth="1"/>
    <x:col min="12" max="12" width="67.83000183105469" hidden="0" customWidth="1"/>
    <x:col min="13" max="13" width="67.83000183105469" hidden="0" customWidth="1"/>
    <x:col min="14" max="14" width="63.93000030517578" hidden="0" customWidth="1"/>
    <x:col min="15" max="15" width="65.41000366210938" hidden="0" customWidth="1"/>
    <x:col min="16" max="16" width="65.80999755859375" hidden="0" customWidth="1"/>
    <x:col min="17" max="17" width="33.650001525878906" hidden="0" customWidth="1"/>
    <x:col min="18" max="18" width="42" hidden="0" customWidth="1"/>
  </x:cols>
  <x:sheetData>
    <x:row r="1">
      <x:c r="A1" s="12" t="str">
        <x:v>证券代码</x:v>
      </x:c>
      <x:c r="B1" s="12" t="str">
        <x:v>证券简称</x:v>
      </x:c>
      <x:c r="C1" s="12" t="str">
        <x:v>利息支出
[报告期] 2025年报
[报表类型] 合并报表
[币种] 原始币种
[单位] 元</x:v>
      </x:c>
      <x:c r="D1" s="12" t="str">
        <x:v>归属母公司股东的净利润
[报告期] 2025年报
[报表类型] 合并报表
[币种] 原始币种
[单位] 元</x:v>
      </x:c>
      <x:c r="E1" s="12" t="str">
        <x:v>资产总计
[报告期] 2025年报
[报表类型] 合并报表
[币种] 原始币种
[单位] 元</x:v>
      </x:c>
      <x:c r="F1" s="12" t="str">
        <x:v>利息支出
[报告期] 2024年报
[报表类型] 合并报表
[币种] 原始币种
[单位] 元↓</x:v>
      </x:c>
      <x:c r="G1" s="12" t="str">
        <x:v>归属母公司股东的净利润
[报告期] 2024年报
[报表类型] 合并报表
[币种] 原始币种
[单位] 元</x:v>
      </x:c>
      <x:c r="H1" s="12" t="str">
        <x:v>资产总计
[报告期] 2024年报
[报表类型] 合并报表
[币种] 原始币种
[单位] 元</x:v>
      </x:c>
      <x:c r="I1" s="12" t="str">
        <x:v>资产总计
[报告期] 2023年报
[报表类型] 合并报表
[币种] 原始币种
[单位] 元</x:v>
      </x:c>
      <x:c r="J1" s="12" t="str">
        <x:v>流动资产合计
[报告期] 2024年报
[报表类型] 合并报表
[币种] 原始币种
[单位] 元</x:v>
      </x:c>
      <x:c r="K1" s="12" t="str">
        <x:v>营业收入
[报告期] 2024年报
[报表类型] 合并报表
[币种] 原始币种
[单位] 元</x:v>
      </x:c>
      <x:c r="L1" s="12" t="str">
        <x:v>流动负债合计
[报告期] 2024年报
[报表类型] 合并报表
[币种] 原始币种
[单位] 元</x:v>
      </x:c>
      <x:c r="M1" s="12" t="str">
        <x:v>固定资产净值
[报告期] 2024年报
[报表类型] 合并报表
[币种] 原始币种
[单位] 元</x:v>
      </x:c>
      <x:c r="N1" s="12" t="str">
        <x:v>负债合计
[报告期] 2024年报
[报表类型] 合并报表
[币种] 原始币种
[单位] 元</x:v>
      </x:c>
      <x:c r="O1" s="12" t="str">
        <x:v>营业收入
[报告期] 2024年报
[报表类型] 合并报表
[币种] 原始币种
[单位] 元.1</x:v>
      </x:c>
      <x:c r="P1" s="12" t="str">
        <x:v>资本性支出
[报告期] 2024年报
[报表类型] 合并报表
[币种] 原始币种
[单位] 元</x:v>
      </x:c>
      <x:c r="Q1" s="12" t="str">
        <x:v>企业所有制性质
[交易日期] 最新收盘日</x:v>
      </x:c>
      <x:c r="R1" s="12" t="str">
        <x:v>所属Wind行业名称(2024)
[交易日期] 最新收盘日
[行业级别] 全部明细</x:v>
      </x:c>
    </x:row>
    <x:row r="2">
      <x:c r="A2" s="13" t="str">
        <x:v>000301.SZ</x:v>
      </x:c>
      <x:c r="B2" s="13" t="str">
        <x:v>东方盛虹</x:v>
      </x:c>
      <x:c r="C2" s="13" t="str">
        <x:v>4,555,007,972.6000</x:v>
      </x:c>
      <x:c r="D2" s="13" t="str">
        <x:v>133,746,317.8100</x:v>
      </x:c>
      <x:c r="E2" s="13" t="str">
        <x:v>205,227,818,129.1300</x:v>
      </x:c>
      <x:c r="F2" s="13" t="str">
        <x:v>4,873,766,540.5100</x:v>
      </x:c>
      <x:c r="G2" s="13" t="str">
        <x:v>-2,296,841,255.7400</x:v>
      </x:c>
      <x:c r="H2" s="13" t="str">
        <x:v>204,312,488,701.8900</x:v>
      </x:c>
      <x:c r="I2" s="13" t="str">
        <x:v>190,214,802,161.8200</x:v>
      </x:c>
      <x:c r="J2" s="13" t="str">
        <x:v>36,926,353,376.6800</x:v>
      </x:c>
      <x:c r="K2" s="13" t="str">
        <x:v>129,267,787,949.7400</x:v>
      </x:c>
      <x:c r="L2" s="13" t="str">
        <x:v>92,099,097,347.2600</x:v>
      </x:c>
      <x:c r="M2" s="13" t="str">
        <x:v>152,325,288,941.9700</x:v>
      </x:c>
      <x:c r="N2" s="13" t="str">
        <x:v>166,840,344,822.3600</x:v>
      </x:c>
      <x:c r="O2" s="13" t="str">
        <x:v>129,267,787,949.7400</x:v>
      </x:c>
      <x:c r="P2" s="13" t="str">
        <x:v>12,700,852,089.6800</x:v>
      </x:c>
      <x:c r="Q2" s="13" t="str">
        <x:v>民营企业</x:v>
      </x:c>
      <x:c r="R2" s="13" t="str">
        <x:v>材料--化工--基础化工--商品化工</x:v>
      </x:c>
    </x:row>
    <x:row r="3">
      <x:c r="A3" s="13" t="str">
        <x:v>000333.SZ</x:v>
      </x:c>
      <x:c r="B3" s="13" t="str">
        <x:v>美的集团</x:v>
      </x:c>
      <x:c r="C3" s="13" t="str">
        <x:v>3,000,695,000.0000</x:v>
      </x:c>
      <x:c r="D3" s="13" t="str">
        <x:v>43,945,411,000.0000</x:v>
      </x:c>
      <x:c r="E3" s="13" t="str">
        <x:v>608,791,766,000.0000</x:v>
      </x:c>
      <x:c r="F3" s="13" t="str">
        <x:v>1,916,510,000.0000</x:v>
      </x:c>
      <x:c r="G3" s="13" t="str">
        <x:v>38,538,987,000.0000</x:v>
      </x:c>
      <x:c r="H3" s="13" t="str">
        <x:v>604,351,853,000.0000</x:v>
      </x:c>
      <x:c r="I3" s="13" t="str">
        <x:v>486,036,015,000.0000</x:v>
      </x:c>
      <x:c r="J3" s="13" t="str">
        <x:v>389,063,786,000.0000</x:v>
      </x:c>
      <x:c r="K3" s="13" t="str">
        <x:v>409,084,266,000.0000</x:v>
      </x:c>
      <x:c r="L3" s="13" t="str">
        <x:v>351,819,806,000.0000</x:v>
      </x:c>
      <x:c r="M3" s="13" t="str">
        <x:v>38,184,639,000.0000</x:v>
      </x:c>
      <x:c r="N3" s="13" t="str">
        <x:v>376,684,462,000.0000</x:v>
      </x:c>
      <x:c r="O3" s="13" t="str">
        <x:v>409,084,266,000.0000</x:v>
      </x:c>
      <x:c r="P3" s="13" t="str">
        <x:v>7,839,636,000.0000</x:v>
      </x:c>
      <x:c r="Q3" s="13" t="str">
        <x:v>民营企业</x:v>
      </x:c>
      <x:c r="R3" s="13" t="str">
        <x:v>可选消费--家电Ⅱ--家电Ⅲ--家用电器</x:v>
      </x:c>
    </x:row>
    <x:row r="4">
      <x:c r="A4" s="13" t="str">
        <x:v>000876.SZ</x:v>
      </x:c>
      <x:c r="B4" s="13" t="str">
        <x:v>新希望</x:v>
      </x:c>
      <x:c r="C4" s="13" t="str">
        <x:v>1,971,954,038.7800</x:v>
      </x:c>
      <x:c r="D4" s="13" t="str">
        <x:v>-1,784,352,202.1800</x:v>
      </x:c>
      <x:c r="E4" s="13" t="str">
        <x:v>114,232,592,818.9200</x:v>
      </x:c>
      <x:c r="F4" s="13" t="str">
        <x:v>1,804,175,384.4600</x:v>
      </x:c>
      <x:c r="G4" s="13" t="str">
        <x:v>473,599,068.1000</x:v>
      </x:c>
      <x:c r="H4" s="13" t="str">
        <x:v>117,913,645,385.3200</x:v>
      </x:c>
      <x:c r="I4" s="13" t="str">
        <x:v>129,610,605,533.0700</x:v>
      </x:c>
      <x:c r="J4" s="13" t="str">
        <x:v>22,305,554,549.1300</x:v>
      </x:c>
      <x:c r="K4" s="13" t="str">
        <x:v>102,890,505,597.9700</x:v>
      </x:c>
      <x:c r="L4" s="13" t="str">
        <x:v>47,135,063,011.9400</x:v>
      </x:c>
      <x:c r="M4" s="13" t="str">
        <x:v>52,372,880,952.1000</x:v>
      </x:c>
      <x:c r="N4" s="13" t="str">
        <x:v>81,368,210,423.3000</x:v>
      </x:c>
      <x:c r="O4" s="13" t="str">
        <x:v>102,890,505,597.9700</x:v>
      </x:c>
      <x:c r="P4" s="13" t="str">
        <x:v>2,184,088,833.2100</x:v>
      </x:c>
      <x:c r="Q4" s="13" t="str">
        <x:v>民营企业</x:v>
      </x:c>
      <x:c r="R4" s="13" t="str">
        <x:v>日常消费--食品饮料--食品--农产品</x:v>
      </x:c>
    </x:row>
    <x:row r="5">
      <x:c r="A5" s="13" t="str">
        <x:v>000963.SZ</x:v>
      </x:c>
      <x:c r="B5" s="13" t="str">
        <x:v>华东医药</x:v>
      </x:c>
      <x:c r="C5" s="13" t="str">
        <x:v>18,773,120.9800</x:v>
      </x:c>
      <x:c r="D5" s="13" t="str">
        <x:v>3,414,335,326.4100</x:v>
      </x:c>
      <x:c r="E5" s="13" t="str">
        <x:v>39,038,036,320.9200</x:v>
      </x:c>
      <x:c r="F5" s="13" t="str">
        <x:v>22,264,685.9100</x:v>
      </x:c>
      <x:c r="G5" s="13" t="str">
        <x:v>3,512,104,678.0600</x:v>
      </x:c>
      <x:c r="H5" s="13" t="str">
        <x:v>37,879,046,367.1500</x:v>
      </x:c>
      <x:c r="I5" s="13" t="str">
        <x:v>33,509,361,816.9800</x:v>
      </x:c>
      <x:c r="J5" s="13" t="str">
        <x:v>21,051,790,761.2900</x:v>
      </x:c>
      <x:c r="K5" s="13" t="str">
        <x:v>41,655,068,590.4800</x:v>
      </x:c>
      <x:c r="L5" s="13" t="str">
        <x:v>13,794,235,373.0100</x:v>
      </x:c>
      <x:c r="M5" s="13" t="str">
        <x:v>5,259,040,256.6100</x:v>
      </x:c>
      <x:c r="N5" s="13" t="str">
        <x:v>14,315,291,455.0300</x:v>
      </x:c>
      <x:c r="O5" s="13" t="str">
        <x:v>41,655,068,590.4800</x:v>
      </x:c>
      <x:c r="P5" s="13" t="str">
        <x:v>1,727,864,860.1200</x:v>
      </x:c>
      <x:c r="Q5" s="13" t="str">
        <x:v>民营企业</x:v>
      </x:c>
      <x:c r="R5" s="13" t="str">
        <x:v>医疗保健--医疗设备与服务--医疗保健提供商与服务--保健护理产品经销商</x:v>
      </x:c>
    </x:row>
    <x:row r="6">
      <x:c r="A6" s="13" t="str">
        <x:v>002001.SZ</x:v>
      </x:c>
      <x:c r="B6" s="13" t="str">
        <x:v>新和成</x:v>
      </x:c>
      <x:c r="C6" s="13" t="str">
        <x:v>-14,746,421.7600</x:v>
      </x:c>
      <x:c r="D6" s="13" t="str">
        <x:v>6,764,199,225.2900</x:v>
      </x:c>
      <x:c r="E6" s="13" t="str">
        <x:v>45,606,449,805.4800</x:v>
      </x:c>
      <x:c r="F6" s="13" t="str">
        <x:v>178,047,841.6500</x:v>
      </x:c>
      <x:c r="G6" s="13" t="str">
        <x:v>5,868,545,988.6200</x:v>
      </x:c>
      <x:c r="H6" s="13" t="str">
        <x:v>42,989,132,470.9700</x:v>
      </x:c>
      <x:c r="I6" s="13" t="str">
        <x:v>39,156,246,864.6700</x:v>
      </x:c>
      <x:c r="J6" s="13" t="str">
        <x:v>16,922,201,085.1000</x:v>
      </x:c>
      <x:c r="K6" s="13" t="str">
        <x:v>21,358,846,553.0300</x:v>
      </x:c>
      <x:c r="L6" s="13" t="str">
        <x:v>6,909,199,513.1900</x:v>
      </x:c>
      <x:c r="M6" s="13" t="str">
        <x:v>22,487,595,467.1100</x:v>
      </x:c>
      <x:c r="N6" s="13" t="str">
        <x:v>13,543,582,208.0400</x:v>
      </x:c>
      <x:c r="O6" s="13" t="str">
        <x:v>21,358,846,553.0300</x:v>
      </x:c>
      <x:c r="P6" s="13" t="str">
        <x:v>1,599,799,315.1300</x:v>
      </x:c>
      <x:c r="Q6" s="13" t="str">
        <x:v>民营企业</x:v>
      </x:c>
      <x:c r="R6" s="13" t="str">
        <x:v>医疗保健--医药生物--制药--西药</x:v>
      </x:c>
    </x:row>
    <x:row r="7">
      <x:c r="A7" s="13" t="str">
        <x:v>002028.SZ</x:v>
      </x:c>
      <x:c r="B7" s="13" t="str">
        <x:v>思源电气</x:v>
      </x:c>
      <x:c r="C7" s="13" t="str">
        <x:v>-7,608,559.4100</x:v>
      </x:c>
      <x:c r="D7" s="13" t="str">
        <x:v>3,150,142,665.0400</x:v>
      </x:c>
      <x:c r="E7" s="13" t="str">
        <x:v>29,839,923,865.4100</x:v>
      </x:c>
      <x:c r="F7" s="13" t="str">
        <x:v>7,810,000.0000</x:v>
      </x:c>
      <x:c r="G7" s="13" t="str">
        <x:v>2,049,070,000.0000</x:v>
      </x:c>
      <x:c r="H7" s="13" t="str">
        <x:v>23,415,757,000.0000</x:v>
      </x:c>
      <x:c r="I7" s="13" t="str">
        <x:v>18,650,704,000.0000</x:v>
      </x:c>
      <x:c r="J7" s="13" t="str">
        <x:v>18,103,888,000.0000</x:v>
      </x:c>
      <x:c r="K7" s="13" t="str">
        <x:v>15,458,069,000.0000</x:v>
      </x:c>
      <x:c r="L7" s="13" t="str">
        <x:v>10,236,582,000.0000</x:v>
      </x:c>
      <x:c r="M7" s="13" t="str">
        <x:v>2,731,462,000.0000</x:v>
      </x:c>
      <x:c r="N7" s="13" t="str">
        <x:v>10,760,415,000.0000</x:v>
      </x:c>
      <x:c r="O7" s="13" t="str">
        <x:v>15,458,069,000.0000</x:v>
      </x:c>
      <x:c r="P7" s="13" t="str">
        <x:v>921,779,000.0000</x:v>
      </x:c>
      <x:c r="Q7" s="13" t="str">
        <x:v>民营企业</x:v>
      </x:c>
      <x:c r="R7" s="13" t="str">
        <x:v>工业--电气设备--电气设备Ⅲ--电气部件与设备</x:v>
      </x:c>
    </x:row>
    <x:row r="8">
      <x:c r="A8" s="13" t="str">
        <x:v>002050.SZ</x:v>
      </x:c>
      <x:c r="B8" s="13" t="str">
        <x:v>三花智控</x:v>
      </x:c>
      <x:c r="C8" s="13" t="str">
        <x:v>135,704,000.0000</x:v>
      </x:c>
      <x:c r="D8" s="13" t="str">
        <x:v>4,062,892,000.0000</x:v>
      </x:c>
      <x:c r="E8" s="13" t="str">
        <x:v>49,406,131,000.0000</x:v>
      </x:c>
      <x:c r="F8" s="13" t="str">
        <x:v>132,384,000.0000</x:v>
      </x:c>
      <x:c r="G8" s="13" t="str">
        <x:v>3,099,165,000.0000</x:v>
      </x:c>
      <x:c r="H8" s="13" t="str">
        <x:v>36,354,749,000.0000</x:v>
      </x:c>
      <x:c r="I8" s="13" t="str">
        <x:v>31,890,585,000.0000</x:v>
      </x:c>
      <x:c r="J8" s="13" t="str">
        <x:v>22,301,163,000.0000</x:v>
      </x:c>
      <x:c r="K8" s="13" t="str">
        <x:v>27,947,165,000.0000</x:v>
      </x:c>
      <x:c r="L8" s="13" t="str">
        <x:v>13,633,304,000.0000</x:v>
      </x:c>
      <x:c r="M8" s="13" t="str">
        <x:v>11,405,812,000.0000</x:v>
      </x:c>
      <x:c r="N8" s="13" t="str">
        <x:v>16,835,105,000.0000</x:v>
      </x:c>
      <x:c r="O8" s="13" t="str">
        <x:v>27,947,165,000.0000</x:v>
      </x:c>
      <x:c r="P8" s="13" t="str">
        <x:v>3,290,148,000.0000</x:v>
      </x:c>
      <x:c r="Q8" s="13" t="str">
        <x:v>民营企业</x:v>
      </x:c>
      <x:c r="R8" s="13" t="str">
        <x:v>工业--机械--机械Ⅲ--工业机械</x:v>
      </x:c>
    </x:row>
    <x:row r="9">
      <x:c r="A9" s="13" t="str">
        <x:v>002074.SZ</x:v>
      </x:c>
      <x:c r="B9" s="13" t="str">
        <x:v>国轩高科</x:v>
      </x:c>
      <x:c r="C9" s="13" t="str">
        <x:v>1,442,765,291.7600</x:v>
      </x:c>
      <x:c r="D9" s="13" t="str">
        <x:v>2,383,271,938.2100</x:v>
      </x:c>
      <x:c r="E9" s="13" t="str">
        <x:v>127,214,519,738.6200</x:v>
      </x:c>
      <x:c r="F9" s="13" t="str">
        <x:v>842,650,250.3800</x:v>
      </x:c>
      <x:c r="G9" s="13" t="str">
        <x:v>1,206,790,129.5900</x:v>
      </x:c>
      <x:c r="H9" s="13" t="str">
        <x:v>107,839,685,095.1300</x:v>
      </x:c>
      <x:c r="I9" s="13" t="str">
        <x:v>93,592,652,122.3800</x:v>
      </x:c>
      <x:c r="J9" s="13" t="str">
        <x:v>48,762,776,435.9900</x:v>
      </x:c>
      <x:c r="K9" s="13" t="str">
        <x:v>35,116,250,530.8300</x:v>
      </x:c>
      <x:c r="L9" s="13" t="str">
        <x:v>55,571,739,076.8100</x:v>
      </x:c>
      <x:c r="M9" s="13" t="str">
        <x:v>44,817,255,554.2100</x:v>
      </x:c>
      <x:c r="N9" s="13" t="str">
        <x:v>77,943,425,823.1100</x:v>
      </x:c>
      <x:c r="O9" s="13" t="str">
        <x:v>35,116,250,530.8300</x:v>
      </x:c>
      <x:c r="P9" s="13" t="str">
        <x:v>9,068,397,787.4700</x:v>
      </x:c>
      <x:c r="Q9" s="13" t="str">
        <x:v>民营企业</x:v>
      </x:c>
      <x:c r="R9" s="13" t="str">
        <x:v>工业--电气设备--电气设备Ⅲ--电气部件与设备</x:v>
      </x:c>
    </x:row>
    <x:row r="10">
      <x:c r="A10" s="13" t="str">
        <x:v>002230.SZ</x:v>
      </x:c>
      <x:c r="B10" s="13" t="str">
        <x:v>科大讯飞</x:v>
      </x:c>
      <x:c r="C10" s="13" t="str">
        <x:v>172,981,046.5600</x:v>
      </x:c>
      <x:c r="D10" s="13" t="str">
        <x:v>839,390,861.3600</x:v>
      </x:c>
      <x:c r="E10" s="13" t="str">
        <x:v>44,857,109,349.3400</x:v>
      </x:c>
      <x:c r="F10" s="13" t="str">
        <x:v>134,760,518.0400</x:v>
      </x:c>
      <x:c r="G10" s="13" t="str">
        <x:v>560,162,663.1600</x:v>
      </x:c>
      <x:c r="H10" s="13" t="str">
        <x:v>41,478,899,803.2000</x:v>
      </x:c>
      <x:c r="I10" s="13" t="str">
        <x:v>37,831,122,978.1500</x:v>
      </x:c>
      <x:c r="J10" s="13" t="str">
        <x:v>24,062,142,022.9200</x:v>
      </x:c>
      <x:c r="K10" s="13" t="str">
        <x:v>23,199,141,890.8100</x:v>
      </x:c>
      <x:c r="L10" s="13" t="str">
        <x:v>15,359,047,904.0300</x:v>
      </x:c>
      <x:c r="M10" s="13" t="str">
        <x:v>6,070,182,217.2200</x:v>
      </x:c>
      <x:c r="N10" s="13" t="str">
        <x:v>22,764,027,052.8800</x:v>
      </x:c>
      <x:c r="O10" s="13" t="str">
        <x:v>23,199,141,890.8100</x:v>
      </x:c>
      <x:c r="P10" s="13" t="str">
        <x:v>3,220,014,055.1800</x:v>
      </x:c>
      <x:c r="Q10" s="13" t="str">
        <x:v>民营企业</x:v>
      </x:c>
      <x:c r="R10" s="13" t="str">
        <x:v>信息技术--软件服务--软件--应用软件</x:v>
      </x:c>
    </x:row>
    <x:row r="11">
      <x:c r="A11" s="13" t="str">
        <x:v>002236.SZ</x:v>
      </x:c>
      <x:c r="B11" s="13" t="str">
        <x:v>大华股份</x:v>
      </x:c>
      <x:c r="C11" s="13" t="str">
        <x:v>-356,374,741.0800</x:v>
      </x:c>
      <x:c r="D11" s="13" t="str">
        <x:v>3,857,923,611.8600</x:v>
      </x:c>
      <x:c r="E11" s="13" t="str">
        <x:v>52,558,604,784.2400</x:v>
      </x:c>
      <x:c r="F11" s="13" t="str">
        <x:v>-389,890,980.6100</x:v>
      </x:c>
      <x:c r="G11" s="13" t="str">
        <x:v>2,905,728,684.0300</x:v>
      </x:c>
      <x:c r="H11" s="13" t="str">
        <x:v>52,735,912,081.8200</x:v>
      </x:c>
      <x:c r="I11" s="13" t="str">
        <x:v>52,881,927,214.0000</x:v>
      </x:c>
      <x:c r="J11" s="13" t="str">
        <x:v>37,246,063,663.1500</x:v>
      </x:c>
      <x:c r="K11" s="13" t="str">
        <x:v>31,959,615,055.7000</x:v>
      </x:c>
      <x:c r="L11" s="13" t="str">
        <x:v>14,890,730,488.3300</x:v>
      </x:c>
      <x:c r="M11" s="13" t="str">
        <x:v>6,228,507,815.4100</x:v>
      </x:c>
      <x:c r="N11" s="13" t="str">
        <x:v>15,561,703,251.2100</x:v>
      </x:c>
      <x:c r="O11" s="13" t="str">
        <x:v>31,959,615,055.7000</x:v>
      </x:c>
      <x:c r="P11" s="13" t="str">
        <x:v>907,507,733.3800</x:v>
      </x:c>
      <x:c r="Q11" s="13" t="str">
        <x:v>民营企业</x:v>
      </x:c>
      <x:c r="R11" s="13" t="str">
        <x:v>信息技术--硬件设备--电子设备、仪器和元件--电子设备和仪器</x:v>
      </x:c>
    </x:row>
    <x:row r="12">
      <x:c r="A12" s="13" t="str">
        <x:v>002241.SZ</x:v>
      </x:c>
      <x:c r="B12" s="13" t="str">
        <x:v>歌尔股份</x:v>
      </x:c>
      <x:c r="C12" s="13" t="str">
        <x:v>611,002,980.0200</x:v>
      </x:c>
      <x:c r="D12" s="13" t="str">
        <x:v>3,940,313,461.5400</x:v>
      </x:c>
      <x:c r="E12" s="13" t="str">
        <x:v>90,530,293,646.9700</x:v>
      </x:c>
      <x:c r="F12" s="13" t="str">
        <x:v>70,707,836.9700</x:v>
      </x:c>
      <x:c r="G12" s="13" t="str">
        <x:v>2,665,044,826.0600</x:v>
      </x:c>
      <x:c r="H12" s="13" t="str">
        <x:v>82,706,773,086.8300</x:v>
      </x:c>
      <x:c r="I12" s="13" t="str">
        <x:v>73,744,409,441.1500</x:v>
      </x:c>
      <x:c r="J12" s="13" t="str">
        <x:v>49,439,525,376.4600</x:v>
      </x:c>
      <x:c r="K12" s="13" t="str">
        <x:v>100,675,116,172.3200</x:v>
      </x:c>
      <x:c r="L12" s="13" t="str">
        <x:v>44,956,954,765.7600</x:v>
      </x:c>
      <x:c r="M12" s="13" t="str">
        <x:v>23,200,813,694.0000</x:v>
      </x:c>
      <x:c r="N12" s="13" t="str">
        <x:v>48,658,696,377.7200</x:v>
      </x:c>
      <x:c r="O12" s="13" t="str">
        <x:v>100,675,116,172.3200</x:v>
      </x:c>
      <x:c r="P12" s="13" t="str">
        <x:v>3,634,412,755.7500</x:v>
      </x:c>
      <x:c r="Q12" s="13" t="str">
        <x:v>民营企业</x:v>
      </x:c>
      <x:c r="R12" s="13" t="str">
        <x:v>可选消费--家电Ⅱ--家电Ⅲ--消费电子产品</x:v>
      </x:c>
    </x:row>
    <x:row r="13">
      <x:c r="A13" s="13" t="str">
        <x:v>002311.SZ</x:v>
      </x:c>
      <x:c r="B13" s="13" t="str">
        <x:v>海大集团</x:v>
      </x:c>
      <x:c r="C13" s="13" t="str">
        <x:v>254,979,226.9800</x:v>
      </x:c>
      <x:c r="D13" s="13" t="str">
        <x:v>4,280,330,734.0800</x:v>
      </x:c>
      <x:c r="E13" s="13" t="str">
        <x:v>47,590,711,885.1100</x:v>
      </x:c>
      <x:c r="F13" s="13" t="str">
        <x:v>369,711,343.7200</x:v>
      </x:c>
      <x:c r="G13" s="13" t="str">
        <x:v>4,503,995,518.3900</x:v>
      </x:c>
      <x:c r="H13" s="13" t="str">
        <x:v>48,140,586,659.7000</x:v>
      </x:c>
      <x:c r="I13" s="13" t="str">
        <x:v>44,746,735,775.6100</x:v>
      </x:c>
      <x:c r="J13" s="13" t="str">
        <x:v>23,489,116,125.3700</x:v>
      </x:c>
      <x:c r="K13" s="13" t="str">
        <x:v>114,452,385,662.5000</x:v>
      </x:c>
      <x:c r="L13" s="13" t="str">
        <x:v>18,534,787,077.2400</x:v>
      </x:c>
      <x:c r="M13" s="13" t="str">
        <x:v>17,353,692,406.5400</x:v>
      </x:c>
      <x:c r="N13" s="13" t="str">
        <x:v>23,044,152,989.7700</x:v>
      </x:c>
      <x:c r="O13" s="13" t="str">
        <x:v>114,452,385,662.5000</x:v>
      </x:c>
      <x:c r="P13" s="13" t="str">
        <x:v>3,136,747,295.9300</x:v>
      </x:c>
      <x:c r="Q13" s="13" t="str">
        <x:v>民营企业</x:v>
      </x:c>
      <x:c r="R13" s="13" t="str">
        <x:v>日常消费--食品饮料--食品--农产品</x:v>
      </x:c>
    </x:row>
    <x:row r="14">
      <x:c r="A14" s="13" t="str">
        <x:v>002352.SZ</x:v>
      </x:c>
      <x:c r="B14" s="13" t="str">
        <x:v>顺丰控股</x:v>
      </x:c>
      <x:c r="C14" s="13" t="str">
        <x:v>1,752,364,000.0000</x:v>
      </x:c>
      <x:c r="D14" s="13" t="str">
        <x:v>11,117,216,000.0000</x:v>
      </x:c>
      <x:c r="E14" s="13" t="str">
        <x:v>216,469,037,000.0000</x:v>
      </x:c>
      <x:c r="F14" s="13" t="str">
        <x:v>2,373,319,000.0000</x:v>
      </x:c>
      <x:c r="G14" s="13" t="str">
        <x:v>10,170,427,000.0000</x:v>
      </x:c>
      <x:c r="H14" s="13" t="str">
        <x:v>213,824,213,000.0000</x:v>
      </x:c>
      <x:c r="I14" s="13" t="str">
        <x:v>221,490,655,000.0000</x:v>
      </x:c>
      <x:c r="J14" s="13" t="str">
        <x:v>88,686,806,000.0000</x:v>
      </x:c>
      <x:c r="K14" s="13" t="str">
        <x:v>284,420,059,000.0000</x:v>
      </x:c>
      <x:c r="L14" s="13" t="str">
        <x:v>72,193,368,000.0000</x:v>
      </x:c>
      <x:c r="M14" s="13" t="str">
        <x:v>59,174,305,000.0000</x:v>
      </x:c>
      <x:c r="N14" s="13" t="str">
        <x:v>111,488,992,000.0000</x:v>
      </x:c>
      <x:c r="O14" s="13" t="str">
        <x:v>284,420,059,000.0000</x:v>
      </x:c>
      <x:c r="P14" s="13" t="str">
        <x:v>9,344,770,000.0000</x:v>
      </x:c>
      <x:c r="Q14" s="13" t="str">
        <x:v>民营企业</x:v>
      </x:c>
      <x:c r="R14" s="13" t="str">
        <x:v>工业--交通运输--航空运输--航空货运与物流</x:v>
      </x:c>
    </x:row>
    <x:row r="15">
      <x:c r="A15" s="13" t="str">
        <x:v>002384.SZ</x:v>
      </x:c>
      <x:c r="B15" s="13" t="str">
        <x:v>东山精密</x:v>
      </x:c>
      <x:c r="C15" s="13" t="str">
        <x:v>424,225,000.0000</x:v>
      </x:c>
      <x:c r="D15" s="13" t="str">
        <x:v>1,386,067,000.0000</x:v>
      </x:c>
      <x:c r="E15" s="13" t="str">
        <x:v>60,250,538,000.0000</x:v>
      </x:c>
      <x:c r="F15" s="13" t="str">
        <x:v>445,902,000.0000</x:v>
      </x:c>
      <x:c r="G15" s="13" t="str">
        <x:v>1,085,641,000.0000</x:v>
      </x:c>
      <x:c r="H15" s="13" t="str">
        <x:v>45,573,749,000.0000</x:v>
      </x:c>
      <x:c r="I15" s="13" t="str">
        <x:v>43,808,753,000.0000</x:v>
      </x:c>
      <x:c r="J15" s="13" t="str">
        <x:v>22,677,792,000.0000</x:v>
      </x:c>
      <x:c r="K15" s="13" t="str">
        <x:v>36,770,374,000.0000</x:v>
      </x:c>
      <x:c r="L15" s="13" t="str">
        <x:v>19,118,077,000.0000</x:v>
      </x:c>
      <x:c r="M15" s="13" t="str">
        <x:v>17,066,248,000.0000</x:v>
      </x:c>
      <x:c r="N15" s="13" t="str">
        <x:v>26,687,646,000.0000</x:v>
      </x:c>
      <x:c r="O15" s="13" t="str">
        <x:v>36,770,374,000.0000</x:v>
      </x:c>
      <x:c r="P15" s="13" t="str">
        <x:v>3,792,145,000.0000</x:v>
      </x:c>
      <x:c r="Q15" s="13" t="str">
        <x:v>民营企业</x:v>
      </x:c>
      <x:c r="R15" s="13" t="str">
        <x:v>信息技术--硬件设备--电子设备、仪器和元件--电子元件</x:v>
      </x:c>
    </x:row>
    <x:row r="16">
      <x:c r="A16" s="13" t="str">
        <x:v>002422.SZ</x:v>
      </x:c>
      <x:c r="B16" s="13" t="str">
        <x:v>科伦药业</x:v>
      </x:c>
      <x:c r="C16" s="13" t="str">
        <x:v>71,499,487.0000</x:v>
      </x:c>
      <x:c r="D16" s="13" t="str">
        <x:v>1,701,935,493.0000</x:v>
      </x:c>
      <x:c r="E16" s="13" t="str">
        <x:v>39,834,823,325.0000</x:v>
      </x:c>
      <x:c r="F16" s="13" t="str">
        <x:v>66,179,387.0000</x:v>
      </x:c>
      <x:c r="G16" s="13" t="str">
        <x:v>2,935,892,103.0000</x:v>
      </x:c>
      <x:c r="H16" s="13" t="str">
        <x:v>37,316,259,482.0000</x:v>
      </x:c>
      <x:c r="I16" s="13" t="str">
        <x:v>36,454,901,140.0000</x:v>
      </x:c>
      <x:c r="J16" s="13" t="str">
        <x:v>17,935,981,250.0000</x:v>
      </x:c>
      <x:c r="K16" s="13" t="str">
        <x:v>21,536,189,806.0000</x:v>
      </x:c>
      <x:c r="L16" s="13" t="str">
        <x:v>9,137,877,768.0000</x:v>
      </x:c>
      <x:c r="M16" s="13" t="str">
        <x:v>12,380,216,105.0000</x:v>
      </x:c>
      <x:c r="N16" s="13" t="str">
        <x:v>10,578,077,409.0000</x:v>
      </x:c>
      <x:c r="O16" s="13" t="str">
        <x:v>21,536,189,806.0000</x:v>
      </x:c>
      <x:c r="P16" s="13" t="str">
        <x:v>1,678,259,615.0000</x:v>
      </x:c>
      <x:c r="Q16" s="13" t="str">
        <x:v>民营企业</x:v>
      </x:c>
      <x:c r="R16" s="13" t="str">
        <x:v>医疗保健--医药生物--制药--西药</x:v>
      </x:c>
    </x:row>
    <x:row r="17">
      <x:c r="A17" s="13" t="str">
        <x:v>002459.SZ</x:v>
      </x:c>
      <x:c r="B17" s="13" t="str">
        <x:v>晶澳科技</x:v>
      </x:c>
      <x:c r="C17" s="13" t="str">
        <x:v>401,282,955.7900</x:v>
      </x:c>
      <x:c r="D17" s="13" t="str">
        <x:v>-4,608,260,132.2600</x:v>
      </x:c>
      <x:c r="E17" s="13" t="str">
        <x:v>105,009,906,906.6600</x:v>
      </x:c>
      <x:c r="F17" s="13" t="str">
        <x:v>1,061,947,000.0000</x:v>
      </x:c>
      <x:c r="G17" s="13" t="str">
        <x:v>-4,655,944,000.0000</x:v>
      </x:c>
      <x:c r="H17" s="13" t="str">
        <x:v>112,958,014,000.0000</x:v>
      </x:c>
      <x:c r="I17" s="13" t="str">
        <x:v>106,589,468,000.0000</x:v>
      </x:c>
      <x:c r="J17" s="13" t="str">
        <x:v>54,938,617,000.0000</x:v>
      </x:c>
      <x:c r="K17" s="13" t="str">
        <x:v>70,120,697,000.0000</x:v>
      </x:c>
      <x:c r="L17" s="13" t="str">
        <x:v>49,975,653,000.0000</x:v>
      </x:c>
      <x:c r="M17" s="13" t="str">
        <x:v>44,994,537,000.0000</x:v>
      </x:c>
      <x:c r="N17" s="13" t="str">
        <x:v>84,428,878,000.0000</x:v>
      </x:c>
      <x:c r="O17" s="13" t="str">
        <x:v>70,120,697,000.0000</x:v>
      </x:c>
      <x:c r="P17" s="13" t="str">
        <x:v>11,828,862,000.0000</x:v>
      </x:c>
      <x:c r="Q17" s="13" t="str">
        <x:v>民营企业</x:v>
      </x:c>
      <x:c r="R17" s="13" t="str">
        <x:v>工业--电气设备--电气设备Ⅲ--光伏设备</x:v>
      </x:c>
    </x:row>
    <x:row r="18">
      <x:c r="A18" s="13" t="str">
        <x:v>002460.SZ</x:v>
      </x:c>
      <x:c r="B18" s="13" t="str">
        <x:v>赣锋锂业</x:v>
      </x:c>
      <x:c r="C18" s="13" t="str">
        <x:v>1,474,383,000.0000</x:v>
      </x:c>
      <x:c r="D18" s="13" t="str">
        <x:v>1,613,671,000.0000</x:v>
      </x:c>
      <x:c r="E18" s="13" t="str">
        <x:v>113,258,092,000.0000</x:v>
      </x:c>
      <x:c r="F18" s="13" t="str">
        <x:v>1,090,748,000.0000</x:v>
      </x:c>
      <x:c r="G18" s="13" t="str">
        <x:v>-2,068,512,000.0000</x:v>
      </x:c>
      <x:c r="H18" s="13" t="str">
        <x:v>100,832,297,000.0000</x:v>
      </x:c>
      <x:c r="I18" s="13" t="str">
        <x:v>91,697,901,000.0000</x:v>
      </x:c>
      <x:c r="J18" s="13" t="str">
        <x:v>22,002,876,000.0000</x:v>
      </x:c>
      <x:c r="K18" s="13" t="str">
        <x:v>18,726,175,000.0000</x:v>
      </x:c>
      <x:c r="L18" s="13" t="str">
        <x:v>31,669,917,000.0000</x:v>
      </x:c>
      <x:c r="M18" s="13" t="str">
        <x:v>35,872,704,000.0000</x:v>
      </x:c>
      <x:c r="N18" s="13" t="str">
        <x:v>53,244,400,000.0000</x:v>
      </x:c>
      <x:c r="O18" s="13" t="str">
        <x:v>18,726,175,000.0000</x:v>
      </x:c>
      <x:c r="P18" s="13" t="str">
        <x:v>9,221,133,000.0000</x:v>
      </x:c>
      <x:c r="Q18" s="13" t="str">
        <x:v>民营企业</x:v>
      </x:c>
      <x:c r="R18" s="13" t="str">
        <x:v>材料--有色金属--其他金属与采矿--金属非金属</x:v>
      </x:c>
    </x:row>
    <x:row r="19">
      <x:c r="A19" s="13" t="str">
        <x:v>002466.SZ</x:v>
      </x:c>
      <x:c r="B19" s="13" t="str">
        <x:v>天齐锂业</x:v>
      </x:c>
      <x:c r="C19" s="13" t="str">
        <x:v>589,765,000.0000</x:v>
      </x:c>
      <x:c r="D19" s="13" t="str">
        <x:v>458,430,000.0000</x:v>
      </x:c>
      <x:c r="E19" s="13" t="str">
        <x:v>72,967,793,000.0000</x:v>
      </x:c>
      <x:c r="F19" s="13" t="str">
        <x:v>600,534,000.0000</x:v>
      </x:c>
      <x:c r="G19" s="13" t="str">
        <x:v>-8,727,021,000.0000</x:v>
      </x:c>
      <x:c r="H19" s="13" t="str">
        <x:v>69,556,579,000.0000</x:v>
      </x:c>
      <x:c r="I19" s="13" t="str">
        <x:v>74,969,069,000.0000</x:v>
      </x:c>
      <x:c r="J19" s="13" t="str">
        <x:v>12,830,213,000.0000</x:v>
      </x:c>
      <x:c r="K19" s="13" t="str">
        <x:v>13,029,739,000.0000</x:v>
      </x:c>
      <x:c r="L19" s="13" t="str">
        <x:v>5,041,272,000.0000</x:v>
      </x:c>
      <x:c r="M19" s="13" t="str">
        <x:v>21,601,133,000.0000</x:v>
      </x:c>
      <x:c r="N19" s="13" t="str">
        <x:v>19,495,531,000.0000</x:v>
      </x:c>
      <x:c r="O19" s="13" t="str">
        <x:v>13,029,739,000.0000</x:v>
      </x:c>
      <x:c r="P19" s="13" t="str">
        <x:v>4,524,444,000.0000</x:v>
      </x:c>
      <x:c r="Q19" s="13" t="str">
        <x:v>民营企业</x:v>
      </x:c>
      <x:c r="R19" s="13" t="str">
        <x:v>材料--有色金属--其他金属与采矿--金属非金属</x:v>
      </x:c>
    </x:row>
    <x:row r="20">
      <x:c r="A20" s="13" t="str">
        <x:v>002493.SZ</x:v>
      </x:c>
      <x:c r="B20" s="13" t="str">
        <x:v>荣盛石化</x:v>
      </x:c>
      <x:c r="C20" s="13" t="str">
        <x:v>5,617,068,173.0400</x:v>
      </x:c>
      <x:c r="D20" s="13" t="str">
        <x:v>848,314,274.7700</x:v>
      </x:c>
      <x:c r="E20" s="13" t="str">
        <x:v>386,633,124,294.1000</x:v>
      </x:c>
      <x:c r="F20" s="13" t="str">
        <x:v>7,131,339,847.3500</x:v>
      </x:c>
      <x:c r="G20" s="13" t="str">
        <x:v>724,484,686.4500</x:v>
      </x:c>
      <x:c r="H20" s="13" t="str">
        <x:v>377,845,944,183.9800</x:v>
      </x:c>
      <x:c r="I20" s="13" t="str">
        <x:v>374,918,440,311.6800</x:v>
      </x:c>
      <x:c r="J20" s="13" t="str">
        <x:v>78,302,919,654.8200</x:v>
      </x:c>
      <x:c r="K20" s="13" t="str">
        <x:v>301,577,722,845.4100</x:v>
      </x:c>
      <x:c r="L20" s="13" t="str">
        <x:v>161,555,861,255.4900</x:v>
      </x:c>
      <x:c r="M20" s="13" t="str">
        <x:v>276,533,245,111.9800</x:v>
      </x:c>
      <x:c r="N20" s="13" t="str">
        <x:v>283,021,813,884.3100</x:v>
      </x:c>
      <x:c r="O20" s="13" t="str">
        <x:v>301,577,722,845.4100</x:v>
      </x:c>
      <x:c r="P20" s="13" t="str">
        <x:v>31,582,215,734.4000</x:v>
      </x:c>
      <x:c r="Q20" s="13" t="str">
        <x:v>民营企业</x:v>
      </x:c>
      <x:c r="R20" s="13" t="str">
        <x:v>材料--化工--基础化工--商品化工</x:v>
      </x:c>
    </x:row>
    <x:row r="21">
      <x:c r="A21" s="13" t="str">
        <x:v>002594.SZ</x:v>
      </x:c>
      <x:c r="B21" s="13" t="str">
        <x:v>比亚迪</x:v>
      </x:c>
      <x:c r="C21" s="13" t="str">
        <x:v>2,551,657,000.0000</x:v>
      </x:c>
      <x:c r="D21" s="13" t="str">
        <x:v>32,619,022,000.0000</x:v>
      </x:c>
      <x:c r="E21" s="13" t="str">
        <x:v>883,729,883,000.0000</x:v>
      </x:c>
      <x:c r="F21" s="13" t="str">
        <x:v>2,093,781,000.0000</x:v>
      </x:c>
      <x:c r="G21" s="13" t="str">
        <x:v>40,254,346,000.0000</x:v>
      </x:c>
      <x:c r="H21" s="13" t="str">
        <x:v>783,355,855,000.0000</x:v>
      </x:c>
      <x:c r="I21" s="13" t="str">
        <x:v>679,547,670,000.0000</x:v>
      </x:c>
      <x:c r="J21" s="13" t="str">
        <x:v>370,572,244,000.0000</x:v>
      </x:c>
      <x:c r="K21" s="13" t="str">
        <x:v>777,102,455,000.0000</x:v>
      </x:c>
      <x:c r="L21" s="13" t="str">
        <x:v>495,985,176,000.0000</x:v>
      </x:c>
      <x:c r="M21" s="13" t="str">
        <x:v>280,845,347,000.0000</x:v>
      </x:c>
      <x:c r="N21" s="13" t="str">
        <x:v>584,667,646,000.0000</x:v>
      </x:c>
      <x:c r="O21" s="13" t="str">
        <x:v>777,102,455,000.0000</x:v>
      </x:c>
      <x:c r="P21" s="13" t="str">
        <x:v>97,359,768,000.0000</x:v>
      </x:c>
      <x:c r="Q21" s="13" t="str">
        <x:v>民营企业</x:v>
      </x:c>
      <x:c r="R21" s="13" t="str">
        <x:v>可选消费--汽车与零配件--汽车--汽车制造</x:v>
      </x:c>
    </x:row>
    <x:row r="22">
      <x:c r="A22" s="13" t="str">
        <x:v>002600.SZ</x:v>
      </x:c>
      <x:c r="B22" s="13" t="str">
        <x:v>领益智造</x:v>
      </x:c>
      <x:c r="C22" s="13" t="str">
        <x:v>380,264,000.0000</x:v>
      </x:c>
      <x:c r="D22" s="13" t="str">
        <x:v>2,287,724,000.0000</x:v>
      </x:c>
      <x:c r="E22" s="13" t="str">
        <x:v>57,900,450,000.0000</x:v>
      </x:c>
      <x:c r="F22" s="13" t="str">
        <x:v>304,163,000.0000</x:v>
      </x:c>
      <x:c r="G22" s="13" t="str">
        <x:v>1,755,226,000.0000</x:v>
      </x:c>
      <x:c r="H22" s="13" t="str">
        <x:v>45,193,486,000.0000</x:v>
      </x:c>
      <x:c r="I22" s="13" t="str">
        <x:v>37,367,171,000.0000</x:v>
      </x:c>
      <x:c r="J22" s="13" t="str">
        <x:v>25,545,831,000.0000</x:v>
      </x:c>
      <x:c r="K22" s="13" t="str">
        <x:v>44,259,533,000.0000</x:v>
      </x:c>
      <x:c r="L22" s="13" t="str">
        <x:v>15,798,184,000.0000</x:v>
      </x:c>
      <x:c r="M22" s="13" t="str">
        <x:v>13,654,814,000.0000</x:v>
      </x:c>
      <x:c r="N22" s="13" t="str">
        <x:v>25,344,505,000.0000</x:v>
      </x:c>
      <x:c r="O22" s="13" t="str">
        <x:v>44,259,533,000.0000</x:v>
      </x:c>
      <x:c r="P22" s="13" t="str">
        <x:v>3,623,127,000.0000</x:v>
      </x:c>
      <x:c r="Q22" s="13" t="str">
        <x:v>民营企业</x:v>
      </x:c>
      <x:c r="R22" s="13" t="str">
        <x:v>信息技术--硬件设备--电子设备、仪器和元件--电子元件</x:v>
      </x:c>
    </x:row>
    <x:row r="23">
      <x:c r="A23" s="13" t="str">
        <x:v>002601.SZ</x:v>
      </x:c>
      <x:c r="B23" s="13" t="str">
        <x:v>龙佰集团</x:v>
      </x:c>
      <x:c r="C23" s="13" t="str">
        <x:v>401,725,045.6800</x:v>
      </x:c>
      <x:c r="D23" s="13" t="str">
        <x:v>1,244,565,890.8800</x:v>
      </x:c>
      <x:c r="E23" s="13" t="str">
        <x:v>64,424,518,688.7000</x:v>
      </x:c>
      <x:c r="F23" s="13" t="str">
        <x:v>700,629,038.5600</x:v>
      </x:c>
      <x:c r="G23" s="13" t="str">
        <x:v>2,168,585,326.0100</x:v>
      </x:c>
      <x:c r="H23" s="13" t="str">
        <x:v>66,200,879,676.0900</x:v>
      </x:c>
      <x:c r="I23" s="13" t="str">
        <x:v>63,817,240,694.6600</x:v>
      </x:c>
      <x:c r="J23" s="13" t="str">
        <x:v>22,837,809,591.0000</x:v>
      </x:c>
      <x:c r="K23" s="13" t="str">
        <x:v>27,166,725,366.7500</x:v>
      </x:c>
      <x:c r="L23" s="13" t="str">
        <x:v>29,894,692,058.8600</x:v>
      </x:c>
      <x:c r="M23" s="13" t="str">
        <x:v>28,671,800,045.1200</x:v>
      </x:c>
      <x:c r="N23" s="13" t="str">
        <x:v>40,408,571,305.0800</x:v>
      </x:c>
      <x:c r="O23" s="13" t="str">
        <x:v>27,166,725,366.7500</x:v>
      </x:c>
      <x:c r="P23" s="13" t="str">
        <x:v>1,582,633,931.0100</x:v>
      </x:c>
      <x:c r="Q23" s="13" t="str">
        <x:v>民营企业</x:v>
      </x:c>
      <x:c r="R23" s="13" t="str">
        <x:v>材料--化工--基础化工--商品化工</x:v>
      </x:c>
    </x:row>
    <x:row r="24">
      <x:c r="A24" s="13" t="str">
        <x:v>002625.SZ</x:v>
      </x:c>
      <x:c r="B24" s="13" t="str">
        <x:v>光启技术</x:v>
      </x:c>
      <x:c r="C24" s="13" t="str">
        <x:v>-109,581,295.4700</x:v>
      </x:c>
      <x:c r="D24" s="13" t="str">
        <x:v>686,946,947.2700</x:v>
      </x:c>
      <x:c r="E24" s="13" t="str">
        <x:v>11,884,396,306.7200</x:v>
      </x:c>
      <x:c r="F24" s="13" t="str">
        <x:v>-166,242,678.2400</x:v>
      </x:c>
      <x:c r="G24" s="13" t="str">
        <x:v>651,967,766.9300</x:v>
      </x:c>
      <x:c r="H24" s="13" t="str">
        <x:v>9,919,567,934.6400</x:v>
      </x:c>
      <x:c r="I24" s="13" t="str">
        <x:v>9,778,783,862.0300</x:v>
      </x:c>
      <x:c r="J24" s="13" t="str">
        <x:v>7,296,275,475.1100</x:v>
      </x:c>
      <x:c r="K24" s="13" t="str">
        <x:v>1,540,727,178.6000</x:v>
      </x:c>
      <x:c r="L24" s="13" t="str">
        <x:v>806,597,308.9000</x:v>
      </x:c>
      <x:c r="M24" s="13" t="str">
        <x:v>1,671,217,173.9600</x:v>
      </x:c>
      <x:c r="N24" s="13" t="str">
        <x:v>985,317,721.6800</x:v>
      </x:c>
      <x:c r="O24" s="13" t="str">
        <x:v>1,540,727,178.6000</x:v>
      </x:c>
      <x:c r="P24" s="13" t="str">
        <x:v>630,444,850.8500</x:v>
      </x:c>
      <x:c r="Q24" s="13" t="str">
        <x:v>民营企业</x:v>
      </x:c>
      <x:c r="R24" s="13" t="str">
        <x:v>工业--国防军工--航空航天与国防Ⅲ--航空航天</x:v>
      </x:c>
    </x:row>
    <x:row r="25">
      <x:c r="A25" s="13" t="str">
        <x:v>002648.SZ</x:v>
      </x:c>
      <x:c r="B25" s="13" t="str">
        <x:v>卫星化学</x:v>
      </x:c>
      <x:c r="C25" s="13" t="str">
        <x:v>873,927,568.4400</x:v>
      </x:c>
      <x:c r="D25" s="13" t="str">
        <x:v>5,310,687,058.7600</x:v>
      </x:c>
      <x:c r="E25" s="13" t="str">
        <x:v>69,564,640,490.9400</x:v>
      </x:c>
      <x:c r="F25" s="13" t="str">
        <x:v>1,024,572,403.4900</x:v>
      </x:c>
      <x:c r="G25" s="13" t="str">
        <x:v>6,071,835,708.4700</x:v>
      </x:c>
      <x:c r="H25" s="13" t="str">
        <x:v>68,305,210,214.9600</x:v>
      </x:c>
      <x:c r="I25" s="13" t="str">
        <x:v>64,581,962,271.6700</x:v>
      </x:c>
      <x:c r="J25" s="13" t="str">
        <x:v>15,498,536,547.3800</x:v>
      </x:c>
      <x:c r="K25" s="13" t="str">
        <x:v>45,364,866,882.2900</x:v>
      </x:c>
      <x:c r="L25" s="13" t="str">
        <x:v>15,372,383,364.4500</x:v>
      </x:c>
      <x:c r="M25" s="13" t="str">
        <x:v>29,775,449,466.9300</x:v>
      </x:c>
      <x:c r="N25" s="13" t="str">
        <x:v>38,000,485,258.2400</x:v>
      </x:c>
      <x:c r="O25" s="13" t="str">
        <x:v>45,364,866,882.2900</x:v>
      </x:c>
      <x:c r="P25" s="13" t="str">
        <x:v>3,139,954,408.4500</x:v>
      </x:c>
      <x:c r="Q25" s="13" t="str">
        <x:v>民营企业</x:v>
      </x:c>
      <x:c r="R25" s="13" t="str">
        <x:v>材料--化工--基础化工--商品化工</x:v>
      </x:c>
    </x:row>
    <x:row r="26">
      <x:c r="A26" s="13" t="str">
        <x:v>002709.SZ</x:v>
      </x:c>
      <x:c r="B26" s="13" t="str">
        <x:v>天赐材料</x:v>
      </x:c>
      <x:c r="C26" s="13" t="str">
        <x:v>202,484,000.0000</x:v>
      </x:c>
      <x:c r="D26" s="13" t="str">
        <x:v>1,361,918,000.0000</x:v>
      </x:c>
      <x:c r="E26" s="13" t="str">
        <x:v>26,926,734,000.0000</x:v>
      </x:c>
      <x:c r="F26" s="13" t="str">
        <x:v>228,158,000.0000</x:v>
      </x:c>
      <x:c r="G26" s="13" t="str">
        <x:v>483,930,000.0000</x:v>
      </x:c>
      <x:c r="H26" s="13" t="str">
        <x:v>23,953,390,000.0000</x:v>
      </x:c>
      <x:c r="I26" s="13" t="str">
        <x:v>23,976,871,000.0000</x:v>
      </x:c>
      <x:c r="J26" s="13" t="str">
        <x:v>10,801,397,000.0000</x:v>
      </x:c>
      <x:c r="K26" s="13" t="str">
        <x:v>12,518,297,000.0000</x:v>
      </x:c>
      <x:c r="L26" s="13" t="str">
        <x:v>5,875,861,000.0000</x:v>
      </x:c>
      <x:c r="M26" s="13" t="str">
        <x:v>9,929,251,000.0000</x:v>
      </x:c>
      <x:c r="N26" s="13" t="str">
        <x:v>10,628,819,000.0000</x:v>
      </x:c>
      <x:c r="O26" s="13" t="str">
        <x:v>12,518,297,000.0000</x:v>
      </x:c>
      <x:c r="P26" s="13" t="str">
        <x:v>771,505,000.0000</x:v>
      </x:c>
      <x:c r="Q26" s="13" t="str">
        <x:v>民营企业</x:v>
      </x:c>
      <x:c r="R26" s="13" t="str">
        <x:v>材料--化工--多元化工Ⅲ--特种化工</x:v>
      </x:c>
    </x:row>
    <x:row r="27">
      <x:c r="A27" s="13" t="str">
        <x:v>002714.SZ</x:v>
      </x:c>
      <x:c r="B27" s="13" t="str">
        <x:v>牧原股份</x:v>
      </x:c>
      <x:c r="C27" s="13" t="str">
        <x:v>2,556,832,463.4200</x:v>
      </x:c>
      <x:c r="D27" s="13" t="str">
        <x:v>15,486,891,254.0400</x:v>
      </x:c>
      <x:c r="E27" s="13" t="str">
        <x:v>171,741,086,702.0800</x:v>
      </x:c>
      <x:c r="F27" s="13" t="str">
        <x:v>3,177,468,228.9700</x:v>
      </x:c>
      <x:c r="G27" s="13" t="str">
        <x:v>17,881,260,485.2700</x:v>
      </x:c>
      <x:c r="H27" s="13" t="str">
        <x:v>187,648,723,830.9200</x:v>
      </x:c>
      <x:c r="I27" s="13" t="str">
        <x:v>195,404,553,902.2400</x:v>
      </x:c>
      <x:c r="J27" s="13" t="str">
        <x:v>61,318,601,205.8500</x:v>
      </x:c>
      <x:c r="K27" s="13" t="str">
        <x:v>137,946,892,076.8700</x:v>
      </x:c>
      <x:c r="L27" s="13" t="str">
        <x:v>85,476,512,749.9100</x:v>
      </x:c>
      <x:c r="M27" s="13" t="str">
        <x:v>108,769,563,791.6400</x:v>
      </x:c>
      <x:c r="N27" s="13" t="str">
        <x:v>110,112,494,714.7700</x:v>
      </x:c>
      <x:c r="O27" s="13" t="str">
        <x:v>137,946,892,076.8700</x:v>
      </x:c>
      <x:c r="P27" s="13" t="str">
        <x:v>12,380,725,812.0000</x:v>
      </x:c>
      <x:c r="Q27" s="13" t="str">
        <x:v>民营企业</x:v>
      </x:c>
      <x:c r="R27" s="13" t="str">
        <x:v>日常消费--食品饮料--食品--食品加工与肉类</x:v>
      </x:c>
    </x:row>
    <x:row r="28">
      <x:c r="A28" s="13" t="str">
        <x:v>300014.SZ</x:v>
      </x:c>
      <x:c r="B28" s="13" t="str">
        <x:v>亿纬锂能</x:v>
      </x:c>
      <x:c r="C28" s="13" t="str">
        <x:v>685,268,055.1200</x:v>
      </x:c>
      <x:c r="D28" s="13" t="str">
        <x:v>4,134,303,670.8900</x:v>
      </x:c>
      <x:c r="E28" s="13" t="str">
        <x:v>125,542,296,569.5800</x:v>
      </x:c>
      <x:c r="F28" s="13" t="str">
        <x:v>635,072,000.0000</x:v>
      </x:c>
      <x:c r="G28" s="13" t="str">
        <x:v>4,075,586,000.0000</x:v>
      </x:c>
      <x:c r="H28" s="13" t="str">
        <x:v>100,890,625,000.0000</x:v>
      </x:c>
      <x:c r="I28" s="13" t="str">
        <x:v>94,355,339,000.0000</x:v>
      </x:c>
      <x:c r="J28" s="13" t="str">
        <x:v>37,984,679,000.0000</x:v>
      </x:c>
      <x:c r="K28" s="13" t="str">
        <x:v>48,614,557,000.0000</x:v>
      </x:c>
      <x:c r="L28" s="13" t="str">
        <x:v>39,794,292,000.0000</x:v>
      </x:c>
      <x:c r="M28" s="13" t="str">
        <x:v>39,213,760,000.0000</x:v>
      </x:c>
      <x:c r="N28" s="13" t="str">
        <x:v>59,891,438,000.0000</x:v>
      </x:c>
      <x:c r="O28" s="13" t="str">
        <x:v>48,614,557,000.0000</x:v>
      </x:c>
      <x:c r="P28" s="13" t="str">
        <x:v>5,545,325,000.0000</x:v>
      </x:c>
      <x:c r="Q28" s="13" t="str">
        <x:v>民营企业</x:v>
      </x:c>
      <x:c r="R28" s="13" t="str">
        <x:v>工业--电气设备--电气设备Ⅲ--电气部件与设备</x:v>
      </x:c>
    </x:row>
    <x:row r="29">
      <x:c r="A29" s="13" t="str">
        <x:v>300015.SZ</x:v>
      </x:c>
      <x:c r="B29" s="13" t="str">
        <x:v>爱尔眼科</x:v>
      </x:c>
      <x:c r="C29" s="13" t="str">
        <x:v>269,717,000.0000</x:v>
      </x:c>
      <x:c r="D29" s="13" t="str">
        <x:v>3,240,259,000.0000</x:v>
      </x:c>
      <x:c r="E29" s="13" t="str">
        <x:v>36,675,990,000.0000</x:v>
      </x:c>
      <x:c r="F29" s="13" t="str">
        <x:v>255,561,000.0000</x:v>
      </x:c>
      <x:c r="G29" s="13" t="str">
        <x:v>3,556,056,000.0000</x:v>
      </x:c>
      <x:c r="H29" s="13" t="str">
        <x:v>33,255,307,000.0000</x:v>
      </x:c>
      <x:c r="I29" s="13" t="str">
        <x:v>30,186,619,000.0000</x:v>
      </x:c>
      <x:c r="J29" s="13" t="str">
        <x:v>9,666,105,000.0000</x:v>
      </x:c>
      <x:c r="K29" s="13" t="str">
        <x:v>20,982,894,000.0000</x:v>
      </x:c>
      <x:c r="L29" s="13" t="str">
        <x:v>6,664,625,000.0000</x:v>
      </x:c>
      <x:c r="M29" s="13" t="str">
        <x:v>7,604,658,000.0000</x:v>
      </x:c>
      <x:c r="N29" s="13" t="str">
        <x:v>11,443,294,000.0000</x:v>
      </x:c>
      <x:c r="O29" s="13" t="str">
        <x:v>20,982,894,000.0000</x:v>
      </x:c>
      <x:c r="P29" s="13" t="str">
        <x:v>1,830,098,000.0000</x:v>
      </x:c>
      <x:c r="Q29" s="13" t="str">
        <x:v>民营企业</x:v>
      </x:c>
      <x:c r="R29" s="13" t="str">
        <x:v>医疗保健--医疗设备与服务--医疗保健提供商与服务--保健护理设施</x:v>
      </x:c>
    </x:row>
    <x:row r="30">
      <x:c r="A30" s="13" t="str">
        <x:v>300033.SZ</x:v>
      </x:c>
      <x:c r="B30" s="13" t="str">
        <x:v>同花顺</x:v>
      </x:c>
      <x:c r="C30" s="13" t="str">
        <x:v>-124,843,719.9400</x:v>
      </x:c>
      <x:c r="D30" s="13" t="str">
        <x:v>3,205,082,002.6900</x:v>
      </x:c>
      <x:c r="E30" s="13" t="str">
        <x:v>15,832,994,333.5200</x:v>
      </x:c>
      <x:c r="F30" s="13" t="str">
        <x:v>-205,924,675.6800</x:v>
      </x:c>
      <x:c r="G30" s="13" t="str">
        <x:v>1,823,266,690.0300</x:v>
      </x:c>
      <x:c r="H30" s="13" t="str">
        <x:v>10,976,501,567.5300</x:v>
      </x:c>
      <x:c r="I30" s="13" t="str">
        <x:v>9,844,860,690.3500</x:v>
      </x:c>
      <x:c r="J30" s="13" t="str">
        <x:v>9,371,557,147.1600</x:v>
      </x:c>
      <x:c r="K30" s="13" t="str">
        <x:v>4,112,650,119.7500</x:v>
      </x:c>
      <x:c r="L30" s="13" t="str">
        <x:v>2,886,162,232.4200</x:v>
      </x:c>
      <x:c r="M30" s="13" t="str">
        <x:v>1,258,021,817.5100</x:v>
      </x:c>
      <x:c r="N30" s="13" t="str">
        <x:v>3,002,176,417.2300</x:v>
      </x:c>
      <x:c r="O30" s="13" t="str">
        <x:v>4,112,650,119.7500</x:v>
      </x:c>
      <x:c r="P30" s="13" t="str">
        <x:v>103,677,532.3200</x:v>
      </x:c>
      <x:c r="Q30" s="13" t="str">
        <x:v>民营企业</x:v>
      </x:c>
      <x:c r="R30" s="13" t="str">
        <x:v>信息技术--软件服务--软件--应用软件</x:v>
      </x:c>
    </x:row>
    <x:row r="31">
      <x:c r="A31" s="13" t="str">
        <x:v>300122.SZ</x:v>
      </x:c>
      <x:c r="B31" s="13" t="str">
        <x:v>智飞生物</x:v>
      </x:c>
      <x:c r="C31" s="13" t="str">
        <x:v>301,755,089.9900</x:v>
      </x:c>
      <x:c r="D31" s="13" t="str">
        <x:v>-14,723,152,851.9900</x:v>
      </x:c>
      <x:c r="E31" s="13" t="str">
        <x:v>31,719,717,303.1300</x:v>
      </x:c>
      <x:c r="F31" s="13" t="str">
        <x:v>109,338,094.5300</x:v>
      </x:c>
      <x:c r="G31" s="13" t="str">
        <x:v>2,018,478,513.9100</x:v>
      </x:c>
      <x:c r="H31" s="13" t="str">
        <x:v>49,909,613,835.4000</x:v>
      </x:c>
      <x:c r="I31" s="13" t="str">
        <x:v>50,232,190,314.3500</x:v>
      </x:c>
      <x:c r="J31" s="13" t="str">
        <x:v>41,292,988,542.9300</x:v>
      </x:c>
      <x:c r="K31" s="13" t="str">
        <x:v>25,934,263,400.4100</x:v>
      </x:c>
      <x:c r="L31" s="13" t="str">
        <x:v>18,441,126,104.3700</x:v>
      </x:c>
      <x:c r="M31" s="13" t="str">
        <x:v>5,343,724,415.0200</x:v>
      </x:c>
      <x:c r="N31" s="13" t="str">
        <x:v>19,078,874,427.3000</x:v>
      </x:c>
      <x:c r="O31" s="13" t="str">
        <x:v>25,934,263,400.4100</x:v>
      </x:c>
      <x:c r="P31" s="13" t="str">
        <x:v>930,343,067.6500</x:v>
      </x:c>
      <x:c r="Q31" s="13" t="str">
        <x:v>民营企业</x:v>
      </x:c>
      <x:c r="R31" s="13" t="str">
        <x:v>医疗保健--医药生物--生物科技Ⅲ--生物科技Ⅳ</x:v>
      </x:c>
    </x:row>
    <x:row r="32">
      <x:c r="A32" s="13" t="str">
        <x:v>300124.SZ</x:v>
      </x:c>
      <x:c r="B32" s="13" t="str">
        <x:v>汇川技术</x:v>
      </x:c>
      <x:c r="C32" s="13" t="str">
        <x:v>170,396,000.0000</x:v>
      </x:c>
      <x:c r="D32" s="13" t="str">
        <x:v>5,050,002,000.0000</x:v>
      </x:c>
      <x:c r="E32" s="13" t="str">
        <x:v>71,314,394,000.0000</x:v>
      </x:c>
      <x:c r="F32" s="13" t="str">
        <x:v>161,645,000.0000</x:v>
      </x:c>
      <x:c r="G32" s="13" t="str">
        <x:v>4,285,493,000.0000</x:v>
      </x:c>
      <x:c r="H32" s="13" t="str">
        <x:v>57,178,824,000.0000</x:v>
      </x:c>
      <x:c r="I32" s="13" t="str">
        <x:v>48,957,564,000.0000</x:v>
      </x:c>
      <x:c r="J32" s="13" t="str">
        <x:v>30,450,686,000.0000</x:v>
      </x:c>
      <x:c r="K32" s="13" t="str">
        <x:v>37,013,308,000.0000</x:v>
      </x:c>
      <x:c r="L32" s="13" t="str">
        <x:v>23,373,963,000.0000</x:v>
      </x:c>
      <x:c r="M32" s="13" t="str">
        <x:v>8,290,974,000.0000</x:v>
      </x:c>
      <x:c r="N32" s="13" t="str">
        <x:v>28,749,694,000.0000</x:v>
      </x:c>
      <x:c r="O32" s="13" t="str">
        <x:v>37,013,308,000.0000</x:v>
      </x:c>
      <x:c r="P32" s="13" t="str">
        <x:v>2,112,249,000.0000</x:v>
      </x:c>
      <x:c r="Q32" s="13" t="str">
        <x:v>民营企业</x:v>
      </x:c>
      <x:c r="R32" s="13" t="str">
        <x:v>工业--电气设备--电气设备Ⅲ--电气部件与设备</x:v>
      </x:c>
    </x:row>
    <x:row r="33">
      <x:c r="A33" s="13" t="str">
        <x:v>300251.SZ</x:v>
      </x:c>
      <x:c r="B33" s="13" t="str">
        <x:v>光线传媒</x:v>
      </x:c>
      <x:c r="C33" s="13" t="str">
        <x:v>-26,019,219.2300</x:v>
      </x:c>
      <x:c r="D33" s="13" t="str">
        <x:v>1,672,149,337.8700</x:v>
      </x:c>
      <x:c r="E33" s="13" t="str">
        <x:v>10,978,138,453.8700</x:v>
      </x:c>
      <x:c r="F33" s="13" t="str">
        <x:v>-27,363,033.1600</x:v>
      </x:c>
      <x:c r="G33" s="13" t="str">
        <x:v>292,015,861.9900</x:v>
      </x:c>
      <x:c r="H33" s="13" t="str">
        <x:v>9,730,530,127.8100</x:v>
      </x:c>
      <x:c r="I33" s="13" t="str">
        <x:v>9,932,219,881.1100</x:v>
      </x:c>
      <x:c r="J33" s="13" t="str">
        <x:v>4,540,662,406.6700</x:v>
      </x:c>
      <x:c r="K33" s="13" t="str">
        <x:v>1,582,910,155.8900</x:v>
      </x:c>
      <x:c r="L33" s="13" t="str">
        <x:v>788,610,375.9800</x:v>
      </x:c>
      <x:c r="M33" s="13" t="str">
        <x:v>24,575,851.9400</x:v>
      </x:c>
      <x:c r="N33" s="13" t="str">
        <x:v>956,603,866.2100</x:v>
      </x:c>
      <x:c r="O33" s="13" t="str">
        <x:v>1,582,910,155.8900</x:v>
      </x:c>
      <x:c r="P33" s="13" t="str">
        <x:v>7,866,217.5100</x:v>
      </x:c>
      <x:c r="Q33" s="13" t="str">
        <x:v>民营企业</x:v>
      </x:c>
      <x:c r="R33" s="13" t="str">
        <x:v>通讯服务--传媒--娱乐--电影和娱乐</x:v>
      </x:c>
    </x:row>
    <x:row r="34">
      <x:c r="A34" s="13" t="str">
        <x:v>300274.SZ</x:v>
      </x:c>
      <x:c r="B34" s="13" t="str">
        <x:v>阳光电源</x:v>
      </x:c>
      <x:c r="C34" s="13" t="str">
        <x:v>346,954,000.0000</x:v>
      </x:c>
      <x:c r="D34" s="13" t="str">
        <x:v>13,461,280,000.0000</x:v>
      </x:c>
      <x:c r="E34" s="13" t="str">
        <x:v>118,679,392,000.0000</x:v>
      </x:c>
      <x:c r="F34" s="13" t="str">
        <x:v>391,866,000.0000</x:v>
      </x:c>
      <x:c r="G34" s="13" t="str">
        <x:v>11,036,279,000.0000</x:v>
      </x:c>
      <x:c r="H34" s="13" t="str">
        <x:v>115,073,771,000.0000</x:v>
      </x:c>
      <x:c r="I34" s="13" t="str">
        <x:v>82,876,505,000.0000</x:v>
      </x:c>
      <x:c r="J34" s="13" t="str">
        <x:v>95,148,599,000.0000</x:v>
      </x:c>
      <x:c r="K34" s="13" t="str">
        <x:v>77,704,134,000.0000</x:v>
      </x:c>
      <x:c r="L34" s="13" t="str">
        <x:v>60,297,878,000.0000</x:v>
      </x:c>
      <x:c r="M34" s="13" t="str">
        <x:v>11,246,545,000.0000</x:v>
      </x:c>
      <x:c r="N34" s="13" t="str">
        <x:v>74,875,023,000.0000</x:v>
      </x:c>
      <x:c r="O34" s="13" t="str">
        <x:v>77,704,134,000.0000</x:v>
      </x:c>
      <x:c r="P34" s="13" t="str">
        <x:v>2,785,953,000.0000</x:v>
      </x:c>
      <x:c r="Q34" s="13" t="str">
        <x:v>民营企业</x:v>
      </x:c>
      <x:c r="R34" s="13" t="str">
        <x:v>工业--电气设备--电气设备Ⅲ--光伏设备</x:v>
      </x:c>
    </x:row>
    <x:row r="35">
      <x:c r="A35" s="13" t="str">
        <x:v>300308.SZ</x:v>
      </x:c>
      <x:c r="B35" s="13" t="str">
        <x:v>中际旭创</x:v>
      </x:c>
      <x:c r="C35" s="13" t="str">
        <x:v>182,798,156.3600</x:v>
      </x:c>
      <x:c r="D35" s="13" t="str">
        <x:v>10,797,254,300.4500</x:v>
      </x:c>
      <x:c r="E35" s="13" t="str">
        <x:v>45,288,970,887.7800</x:v>
      </x:c>
      <x:c r="F35" s="13" t="str">
        <x:v>-144,431,151.9000</x:v>
      </x:c>
      <x:c r="G35" s="13" t="str">
        <x:v>5,171,485,967.8500</x:v>
      </x:c>
      <x:c r="H35" s="13" t="str">
        <x:v>28,866,276,555.2600</x:v>
      </x:c>
      <x:c r="I35" s="13" t="str">
        <x:v>20,006,747,461.3200</x:v>
      </x:c>
      <x:c r="J35" s="13" t="str">
        <x:v>18,195,744,299.8400</x:v>
      </x:c>
      <x:c r="K35" s="13" t="str">
        <x:v>23,815,251,344.0000</x:v>
      </x:c>
      <x:c r="L35" s="13" t="str">
        <x:v>6,497,384,821.0800</x:v>
      </x:c>
      <x:c r="M35" s="13" t="str">
        <x:v>5,872,418,795.9000</x:v>
      </x:c>
      <x:c r="N35" s="13" t="str">
        <x:v>8,573,435,376.0300</x:v>
      </x:c>
      <x:c r="O35" s="13" t="str">
        <x:v>23,815,251,344.0000</x:v>
      </x:c>
      <x:c r="P35" s="13" t="str">
        <x:v>2,866,157,321.9600</x:v>
      </x:c>
      <x:c r="Q35" s="13" t="str">
        <x:v>民营企业</x:v>
      </x:c>
      <x:c r="R35" s="13" t="str">
        <x:v>信息技术--硬件设备--通信设备Ⅲ--通信设备Ⅳ</x:v>
      </x:c>
    </x:row>
    <x:row r="36">
      <x:c r="A36" s="13" t="str">
        <x:v>300316.SZ</x:v>
      </x:c>
      <x:c r="B36" s="13" t="str">
        <x:v>晶盛机电</x:v>
      </x:c>
      <x:c r="C36" s="13" t="str">
        <x:v>53,174,919.9000</x:v>
      </x:c>
      <x:c r="D36" s="13" t="str">
        <x:v>884,734,667.2900</x:v>
      </x:c>
      <x:c r="E36" s="13" t="str">
        <x:v>27,756,229,482.7700</x:v>
      </x:c>
      <x:c r="F36" s="13" t="str">
        <x:v>9,769,220.7000</x:v>
      </x:c>
      <x:c r="G36" s="13" t="str">
        <x:v>2,509,729,984.5200</x:v>
      </x:c>
      <x:c r="H36" s="13" t="str">
        <x:v>31,550,179,908.0800</x:v>
      </x:c>
      <x:c r="I36" s="13" t="str">
        <x:v>36,808,359,204.0600</x:v>
      </x:c>
      <x:c r="J36" s="13" t="str">
        <x:v>21,142,612,098.0600</x:v>
      </x:c>
      <x:c r="K36" s="13" t="str">
        <x:v>17,491,827,211.8500</x:v>
      </x:c>
      <x:c r="L36" s="13" t="str">
        <x:v>12,126,272,372.4700</x:v>
      </x:c>
      <x:c r="M36" s="13" t="str">
        <x:v>7,076,718,118.9600</x:v>
      </x:c>
      <x:c r="N36" s="13" t="str">
        <x:v>13,616,061,843.6800</x:v>
      </x:c>
      <x:c r="O36" s="13" t="str">
        <x:v>17,491,827,211.8500</x:v>
      </x:c>
      <x:c r="P36" s="13" t="str">
        <x:v>1,645,300,520.4300</x:v>
      </x:c>
      <x:c r="Q36" s="13" t="str">
        <x:v>民营企业</x:v>
      </x:c>
      <x:c r="R36" s="13" t="str">
        <x:v>工业--电气设备--电气设备Ⅲ--光伏设备</x:v>
      </x:c>
    </x:row>
    <x:row r="37">
      <x:c r="A37" s="13" t="str">
        <x:v>300347.SZ</x:v>
      </x:c>
      <x:c r="B37" s="13" t="str">
        <x:v>泰格医药</x:v>
      </x:c>
      <x:c r="C37" s="13" t="str">
        <x:v>90,559,390.8200</x:v>
      </x:c>
      <x:c r="D37" s="13" t="str">
        <x:v>887,890,076.3100</x:v>
      </x:c>
      <x:c r="E37" s="13" t="str">
        <x:v>28,358,795,158.1700</x:v>
      </x:c>
      <x:c r="F37" s="13" t="str">
        <x:v>141,235,382.0400</x:v>
      </x:c>
      <x:c r="G37" s="13" t="str">
        <x:v>405,143,491.8200</x:v>
      </x:c>
      <x:c r="H37" s="13" t="str">
        <x:v>28,671,015,787.1600</x:v>
      </x:c>
      <x:c r="I37" s="13" t="str">
        <x:v>29,680,743,000.0000</x:v>
      </x:c>
      <x:c r="J37" s="13" t="str">
        <x:v>6,299,685,225.8600</x:v>
      </x:c>
      <x:c r="K37" s="13" t="str">
        <x:v>6,603,120,162.7800</x:v>
      </x:c>
      <x:c r="L37" s="13" t="str">
        <x:v>3,661,852,465.1200</x:v>
      </x:c>
      <x:c r="M37" s="13" t="str">
        <x:v>1,199,033,750.6100</x:v>
      </x:c>
      <x:c r="N37" s="13" t="str">
        <x:v>4,606,536,600.5700</x:v>
      </x:c>
      <x:c r="O37" s="13" t="str">
        <x:v>6,603,120,162.7800</x:v>
      </x:c>
      <x:c r="P37" s="13" t="str">
        <x:v>356,554,496.9600</x:v>
      </x:c>
      <x:c r="Q37" s="13" t="str">
        <x:v>民营企业</x:v>
      </x:c>
      <x:c r="R37" s="13" t="str">
        <x:v>医疗保健--医药生物--生命科学工具和服务Ⅲ--生命科学工具和服务Ⅳ</x:v>
      </x:c>
    </x:row>
    <x:row r="38">
      <x:c r="A38" s="13" t="str">
        <x:v>300394.SZ</x:v>
      </x:c>
      <x:c r="B38" s="13" t="str">
        <x:v>天孚通信</x:v>
      </x:c>
      <x:c r="C38" s="13" t="str">
        <x:v>1,181,000.0000</x:v>
      </x:c>
      <x:c r="D38" s="13" t="str">
        <x:v>2,028,007,000.0000</x:v>
      </x:c>
      <x:c r="E38" s="13" t="str">
        <x:v>6,449,303,000.0000</x:v>
      </x:c>
      <x:c r="F38" s="13" t="str">
        <x:v>1,558,000.0000</x:v>
      </x:c>
      <x:c r="G38" s="13" t="str">
        <x:v>1,350,417,000.0000</x:v>
      </x:c>
      <x:c r="H38" s="13" t="str">
        <x:v>4,736,726,000.0000</x:v>
      </x:c>
      <x:c r="I38" s="13" t="str">
        <x:v>3,898,222,000.0000</x:v>
      </x:c>
      <x:c r="J38" s="13" t="str">
        <x:v>3,524,465,000.0000</x:v>
      </x:c>
      <x:c r="K38" s="13" t="str">
        <x:v>3,225,918,000.0000</x:v>
      </x:c>
      <x:c r="L38" s="13" t="str">
        <x:v>726,690,000.0000</x:v>
      </x:c>
      <x:c r="M38" s="13" t="str">
        <x:v>1,040,386,000.0000</x:v>
      </x:c>
      <x:c r="N38" s="13" t="str">
        <x:v>750,728,000.0000</x:v>
      </x:c>
      <x:c r="O38" s="13" t="str">
        <x:v>3,225,918,000.0000</x:v>
      </x:c>
      <x:c r="P38" s="13" t="str">
        <x:v>451,475,000.0000</x:v>
      </x:c>
      <x:c r="Q38" s="13" t="str">
        <x:v>民营企业</x:v>
      </x:c>
      <x:c r="R38" s="13" t="str">
        <x:v>信息技术--硬件设备--通信设备Ⅲ--通信设备Ⅳ</x:v>
      </x:c>
    </x:row>
    <x:row r="39">
      <x:c r="A39" s="13" t="str">
        <x:v>300408.SZ</x:v>
      </x:c>
      <x:c r="B39" s="13" t="str">
        <x:v>三环集团</x:v>
      </x:c>
      <x:c r="C39" s="13" t="str">
        <x:v>20,396,000.0000</x:v>
      </x:c>
      <x:c r="D39" s="13" t="str">
        <x:v>2,618,384,000.0000</x:v>
      </x:c>
      <x:c r="E39" s="13" t="str">
        <x:v>26,506,089,000.0000</x:v>
      </x:c>
      <x:c r="F39" s="13" t="str">
        <x:v>27,700,000.0000</x:v>
      </x:c>
      <x:c r="G39" s="13" t="str">
        <x:v>2,190,449,000.0000</x:v>
      </x:c>
      <x:c r="H39" s="13" t="str">
        <x:v>23,915,804,000.0000</x:v>
      </x:c>
      <x:c r="I39" s="13" t="str">
        <x:v>21,826,964,000.0000</x:v>
      </x:c>
      <x:c r="J39" s="13" t="str">
        <x:v>13,602,036,000.0000</x:v>
      </x:c>
      <x:c r="K39" s="13" t="str">
        <x:v>7,266,133,000.0000</x:v>
      </x:c>
      <x:c r="L39" s="13" t="str">
        <x:v>2,744,802,000.0000</x:v>
      </x:c>
      <x:c r="M39" s="13" t="str">
        <x:v>6,137,581,000.0000</x:v>
      </x:c>
      <x:c r="N39" s="13" t="str">
        <x:v>4,044,036,000.0000</x:v>
      </x:c>
      <x:c r="O39" s="13" t="str">
        <x:v>7,266,133,000.0000</x:v>
      </x:c>
      <x:c r="P39" s="13" t="str">
        <x:v>639,035,000.0000</x:v>
      </x:c>
      <x:c r="Q39" s="13" t="str">
        <x:v>民营企业</x:v>
      </x:c>
      <x:c r="R39" s="13" t="str">
        <x:v>信息技术--硬件设备--电子设备、仪器和元件--电子元件</x:v>
      </x:c>
    </x:row>
    <x:row r="40">
      <x:c r="A40" s="13" t="str">
        <x:v>300418.SZ</x:v>
      </x:c>
      <x:c r="B40" s="13" t="str">
        <x:v>昆仑万维</x:v>
      </x:c>
      <x:c r="C40" s="13" t="str">
        <x:v>81,051,953.2500</x:v>
      </x:c>
      <x:c r="D40" s="13" t="str">
        <x:v>-1,592,728,558.5300</x:v>
      </x:c>
      <x:c r="E40" s="13" t="str">
        <x:v>20,233,944,014.5600</x:v>
      </x:c>
      <x:c r="F40" s="13" t="str">
        <x:v>65,112,781.3100</x:v>
      </x:c>
      <x:c r="G40" s="13" t="str">
        <x:v>-1,594,796,845.4700</x:v>
      </x:c>
      <x:c r="H40" s="13" t="str">
        <x:v>20,676,372,303.4700</x:v>
      </x:c>
      <x:c r="I40" s="13" t="str">
        <x:v>21,484,962,358.2100</x:v>
      </x:c>
      <x:c r="J40" s="13" t="str">
        <x:v>4,857,989,644.8500</x:v>
      </x:c>
      <x:c r="K40" s="13" t="str">
        <x:v>5,658,456,133.4600</x:v>
      </x:c>
      <x:c r="L40" s="13" t="str">
        <x:v>3,011,477,477.1900</x:v>
      </x:c>
      <x:c r="M40" s="13" t="str">
        <x:v>367,668,657.2100</x:v>
      </x:c>
      <x:c r="N40" s="13" t="str">
        <x:v>3,692,631,159.0100</x:v>
      </x:c>
      <x:c r="O40" s="13" t="str">
        <x:v>5,658,456,133.4600</x:v>
      </x:c>
      <x:c r="P40" s="13" t="str">
        <x:v>414,433,275.3400</x:v>
      </x:c>
      <x:c r="Q40" s="13" t="str">
        <x:v>民营企业</x:v>
      </x:c>
      <x:c r="R40" s="13" t="str">
        <x:v>通讯服务--传媒--互动媒体与服务Ⅲ--互动媒体与服务Ⅳ</x:v>
      </x:c>
    </x:row>
    <x:row r="41">
      <x:c r="A41" s="13" t="str">
        <x:v>300433.SZ</x:v>
      </x:c>
      <x:c r="B41" s="13" t="str">
        <x:v>蓝思科技</x:v>
      </x:c>
      <x:c r="C41" s="13" t="str">
        <x:v>269,418,000.0000</x:v>
      </x:c>
      <x:c r="D41" s="13" t="str">
        <x:v>4,017,827,000.0000</x:v>
      </x:c>
      <x:c r="E41" s="13" t="str">
        <x:v>84,338,600,000.0000</x:v>
      </x:c>
      <x:c r="F41" s="13" t="str">
        <x:v>388,438,000.0000</x:v>
      </x:c>
      <x:c r="G41" s="13" t="str">
        <x:v>3,623,901,000.0000</x:v>
      </x:c>
      <x:c r="H41" s="13" t="str">
        <x:v>81,016,047,000.0000</x:v>
      </x:c>
      <x:c r="I41" s="13" t="str">
        <x:v>77,469,741,000.0000</x:v>
      </x:c>
      <x:c r="J41" s="13" t="str">
        <x:v>30,772,781,000.0000</x:v>
      </x:c>
      <x:c r="K41" s="13" t="str">
        <x:v>69,896,776,000.0000</x:v>
      </x:c>
      <x:c r="L41" s="13" t="str">
        <x:v>23,065,161,000.0000</x:v>
      </x:c>
      <x:c r="M41" s="13" t="str">
        <x:v>37,809,136,000.0000</x:v>
      </x:c>
      <x:c r="N41" s="13" t="str">
        <x:v>32,170,137,000.0000</x:v>
      </x:c>
      <x:c r="O41" s="13" t="str">
        <x:v>69,896,776,000.0000</x:v>
      </x:c>
      <x:c r="P41" s="13" t="str">
        <x:v>6,252,235,000.0000</x:v>
      </x:c>
      <x:c r="Q41" s="13" t="str">
        <x:v>民营企业</x:v>
      </x:c>
      <x:c r="R41" s="13" t="str">
        <x:v>信息技术--硬件设备--电子设备、仪器和元件--电子元件</x:v>
      </x:c>
    </x:row>
    <x:row r="42">
      <x:c r="A42" s="13" t="str">
        <x:v>300442.SZ</x:v>
      </x:c>
      <x:c r="B42" s="13" t="str">
        <x:v>润泽科技</x:v>
      </x:c>
      <x:c r="C42" s="13" t="str">
        <x:v>310,631,466.6800</x:v>
      </x:c>
      <x:c r="D42" s="13" t="str">
        <x:v>5,049,938,663.9200</x:v>
      </x:c>
      <x:c r="E42" s="13" t="str">
        <x:v>42,693,736,228.8600</x:v>
      </x:c>
      <x:c r="F42" s="13" t="str">
        <x:v>247,417,902.7700</x:v>
      </x:c>
      <x:c r="G42" s="13" t="str">
        <x:v>1,790,336,174.2600</x:v>
      </x:c>
      <x:c r="H42" s="13" t="str">
        <x:v>31,308,886,649.7200</x:v>
      </x:c>
      <x:c r="I42" s="13" t="str">
        <x:v>23,310,849,208.6000</x:v>
      </x:c>
      <x:c r="J42" s="13" t="str">
        <x:v>8,940,963,098.2800</x:v>
      </x:c>
      <x:c r="K42" s="13" t="str">
        <x:v>4,302,111,006.9000</x:v>
      </x:c>
      <x:c r="L42" s="13" t="str">
        <x:v>6,017,404,718.5500</x:v>
      </x:c>
      <x:c r="M42" s="13" t="str">
        <x:v>20,219,097,818.6600</x:v>
      </x:c>
      <x:c r="N42" s="13" t="str">
        <x:v>19,758,779,691.3900</x:v>
      </x:c>
      <x:c r="O42" s="13" t="str">
        <x:v>4,302,111,006.9000</x:v>
      </x:c>
      <x:c r="P42" s="13" t="str">
        <x:v>4,888,330,682.5900</x:v>
      </x:c>
      <x:c r="Q42" s="13" t="str">
        <x:v>民营企业</x:v>
      </x:c>
      <x:c r="R42" s="13" t="str">
        <x:v>信息技术--软件服务--信息技术服务--互联网服务与基础架构</x:v>
      </x:c>
    </x:row>
    <x:row r="43">
      <x:c r="A43" s="13" t="str">
        <x:v>300476.SZ</x:v>
      </x:c>
      <x:c r="B43" s="13" t="str">
        <x:v>胜宏科技</x:v>
      </x:c>
      <x:c r="C43" s="13" t="str">
        <x:v>137,778,000.0000</x:v>
      </x:c>
      <x:c r="D43" s="13" t="str">
        <x:v>4,311,988,000.0000</x:v>
      </x:c>
      <x:c r="E43" s="13" t="str">
        <x:v>35,244,489,000.0000</x:v>
      </x:c>
      <x:c r="F43" s="13" t="str">
        <x:v>110,431,000.0000</x:v>
      </x:c>
      <x:c r="G43" s="13" t="str">
        <x:v>1,154,431,000.0000</x:v>
      </x:c>
      <x:c r="H43" s="13" t="str">
        <x:v>19,175,313,000.0000</x:v>
      </x:c>
      <x:c r="I43" s="13" t="str">
        <x:v>17,383,616,000.0000</x:v>
      </x:c>
      <x:c r="J43" s="13" t="str">
        <x:v>8,079,998,000.0000</x:v>
      </x:c>
      <x:c r="K43" s="13" t="str">
        <x:v>10,731,469,000.0000</x:v>
      </x:c>
      <x:c r="L43" s="13" t="str">
        <x:v>7,536,563,000.0000</x:v>
      </x:c>
      <x:c r="M43" s="13" t="str">
        <x:v>7,414,957,000.0000</x:v>
      </x:c>
      <x:c r="N43" s="13" t="str">
        <x:v>10,247,380,000.0000</x:v>
      </x:c>
      <x:c r="O43" s="13" t="str">
        <x:v>10,731,469,000.0000</x:v>
      </x:c>
      <x:c r="P43" s="13" t="str">
        <x:v>1,121,532,000.0000</x:v>
      </x:c>
      <x:c r="Q43" s="13" t="str">
        <x:v>民营企业</x:v>
      </x:c>
      <x:c r="R43" s="13" t="str">
        <x:v>信息技术--硬件设备--电子设备、仪器和元件--电子元件</x:v>
      </x:c>
    </x:row>
    <x:row r="44">
      <x:c r="A44" s="13" t="str">
        <x:v>300498.SZ</x:v>
      </x:c>
      <x:c r="B44" s="13" t="str">
        <x:v>温氏股份</x:v>
      </x:c>
      <x:c r="C44" s="13" t="str">
        <x:v>706,851,580.3400</x:v>
      </x:c>
      <x:c r="D44" s="13" t="str">
        <x:v>5,266,415,817.8200</x:v>
      </x:c>
      <x:c r="E44" s="13" t="str">
        <x:v>89,507,573,237.2800</x:v>
      </x:c>
      <x:c r="F44" s="13" t="str">
        <x:v>1,034,818,133.6400</x:v>
      </x:c>
      <x:c r="G44" s="13" t="str">
        <x:v>9,230,418,856.6200</x:v>
      </x:c>
      <x:c r="H44" s="13" t="str">
        <x:v>93,857,512,000.0000</x:v>
      </x:c>
      <x:c r="I44" s="13" t="str">
        <x:v>92,895,140,058.7600</x:v>
      </x:c>
      <x:c r="J44" s="13" t="str">
        <x:v>35,522,976,306.7900</x:v>
      </x:c>
      <x:c r="K44" s="13" t="str">
        <x:v>104,700,576,011.3000</x:v>
      </x:c>
      <x:c r="L44" s="13" t="str">
        <x:v>29,135,876,174.6000</x:v>
      </x:c>
      <x:c r="M44" s="13" t="str">
        <x:v>37,739,664,305.7100</x:v>
      </x:c>
      <x:c r="N44" s="13" t="str">
        <x:v>49,880,145,648.9400</x:v>
      </x:c>
      <x:c r="O44" s="13" t="str">
        <x:v>104,700,576,011.3000</x:v>
      </x:c>
      <x:c r="P44" s="13" t="str">
        <x:v>9,135,258,924.1700</x:v>
      </x:c>
      <x:c r="Q44" s="13" t="str">
        <x:v>民营企业</x:v>
      </x:c>
      <x:c r="R44" s="13" t="str">
        <x:v>日常消费--食品饮料--食品--食品加工与肉类</x:v>
      </x:c>
    </x:row>
    <x:row r="45">
      <x:c r="A45" s="13" t="str">
        <x:v>300502.SZ</x:v>
      </x:c>
      <x:c r="B45" s="13" t="str">
        <x:v>新易盛</x:v>
      </x:c>
      <x:c r="C45" s="13" t="str">
        <x:v>-318,175,291.1300</x:v>
      </x:c>
      <x:c r="D45" s="13" t="str">
        <x:v>9,531,922,730.1700</x:v>
      </x:c>
      <x:c r="E45" s="13" t="str">
        <x:v>25,881,071,176.4700</x:v>
      </x:c>
      <x:c r="F45" s="13" t="str">
        <x:v>-179,316,633.6600</x:v>
      </x:c>
      <x:c r="G45" s="13" t="str">
        <x:v>2,837,813,624.3700</x:v>
      </x:c>
      <x:c r="H45" s="13" t="str">
        <x:v>12,266,549,853.8900</x:v>
      </x:c>
      <x:c r="I45" s="13" t="str">
        <x:v>6,439,983,560.3400</x:v>
      </x:c>
      <x:c r="J45" s="13" t="str">
        <x:v>8,925,435,606.9300</x:v>
      </x:c>
      <x:c r="K45" s="13" t="str">
        <x:v>8,574,973,919.3800</x:v>
      </x:c>
      <x:c r="L45" s="13" t="str">
        <x:v>3,824,576,783.8000</x:v>
      </x:c>
      <x:c r="M45" s="13" t="str">
        <x:v>2,418,932,907.4900</x:v>
      </x:c>
      <x:c r="N45" s="13" t="str">
        <x:v>3,938,420,036.0300</x:v>
      </x:c>
      <x:c r="O45" s="13" t="str">
        <x:v>8,574,973,919.3800</x:v>
      </x:c>
      <x:c r="P45" s="13" t="str">
        <x:v>1,476,338,009.2600</x:v>
      </x:c>
      <x:c r="Q45" s="13" t="str">
        <x:v>民营企业</x:v>
      </x:c>
      <x:c r="R45" s="13" t="str">
        <x:v>信息技术--硬件设备--通信设备Ⅲ--通信设备Ⅳ</x:v>
      </x:c>
    </x:row>
    <x:row r="46">
      <x:c r="A46" s="13" t="str">
        <x:v>300628.SZ</x:v>
      </x:c>
      <x:c r="B46" s="13" t="str">
        <x:v>亿联网络</x:v>
      </x:c>
      <x:c r="C46" s="13" t="str">
        <x:v>-8,158,583.7500</x:v>
      </x:c>
      <x:c r="D46" s="13" t="str">
        <x:v>2,600,608,389.6600</x:v>
      </x:c>
      <x:c r="E46" s="13" t="str">
        <x:v>10,695,433,077.2500</x:v>
      </x:c>
      <x:c r="F46" s="13" t="str">
        <x:v>-67,244,566.6300</x:v>
      </x:c>
      <x:c r="G46" s="13" t="str">
        <x:v>2,647,857,338.0700</x:v>
      </x:c>
      <x:c r="H46" s="13" t="str">
        <x:v>9,774,512,670.1000</x:v>
      </x:c>
      <x:c r="I46" s="13" t="str">
        <x:v>8,885,225,066.6000</x:v>
      </x:c>
      <x:c r="J46" s="13" t="str">
        <x:v>8,036,748,082.1900</x:v>
      </x:c>
      <x:c r="K46" s="13" t="str">
        <x:v>5,554,633,124.6200</x:v>
      </x:c>
      <x:c r="L46" s="13" t="str">
        <x:v>796,374,165.9500</x:v>
      </x:c>
      <x:c r="M46" s="13" t="str">
        <x:v>1,076,501,689.4500</x:v>
      </x:c>
      <x:c r="N46" s="13" t="str">
        <x:v>826,841,266.4800</x:v>
      </x:c>
      <x:c r="O46" s="13" t="str">
        <x:v>5,554,633,124.6200</x:v>
      </x:c>
      <x:c r="P46" s="13" t="str">
        <x:v>140,117,334.3200</x:v>
      </x:c>
      <x:c r="Q46" s="13" t="str">
        <x:v>民营企业</x:v>
      </x:c>
      <x:c r="R46" s="13" t="str">
        <x:v>信息技术--硬件设备--通信设备Ⅲ--通信设备Ⅳ</x:v>
      </x:c>
    </x:row>
    <x:row r="47">
      <x:c r="A47" s="13" t="str">
        <x:v>300661.SZ</x:v>
      </x:c>
      <x:c r="B47" s="13" t="str">
        <x:v>圣邦股份</x:v>
      </x:c>
      <x:c r="C47" s="13" t="str">
        <x:v>11,996,000.0000</x:v>
      </x:c>
      <x:c r="D47" s="13" t="str">
        <x:v>547,060,000.0000</x:v>
      </x:c>
      <x:c r="E47" s="13" t="str">
        <x:v>6,954,150,000.0000</x:v>
      </x:c>
      <x:c r="F47" s="13" t="str">
        <x:v>2,242,000.0000</x:v>
      </x:c>
      <x:c r="G47" s="13" t="str">
        <x:v>500,249,000.0000</x:v>
      </x:c>
      <x:c r="H47" s="13" t="str">
        <x:v>5,771,119,000.0000</x:v>
      </x:c>
      <x:c r="I47" s="13" t="str">
        <x:v>4,706,852,000.0000</x:v>
      </x:c>
      <x:c r="J47" s="13" t="str">
        <x:v>3,690,614,000.0000</x:v>
      </x:c>
      <x:c r="K47" s="13" t="str">
        <x:v>3,346,983,000.0000</x:v>
      </x:c>
      <x:c r="L47" s="13" t="str">
        <x:v>868,870,000.0000</x:v>
      </x:c>
      <x:c r="M47" s="13" t="str">
        <x:v>691,094,000.0000</x:v>
      </x:c>
      <x:c r="N47" s="13" t="str">
        <x:v>1,171,859,000.0000</x:v>
      </x:c>
      <x:c r="O47" s="13" t="str">
        <x:v>3,346,983,000.0000</x:v>
      </x:c>
      <x:c r="P47" s="13" t="str">
        <x:v>240,313,000.0000</x:v>
      </x:c>
      <x:c r="Q47" s="13" t="str">
        <x:v>民营企业</x:v>
      </x:c>
      <x:c r="R47" s="13" t="str">
        <x:v>信息技术--半导体--半导体产品--集成电路</x:v>
      </x:c>
    </x:row>
    <x:row r="48">
      <x:c r="A48" s="13" t="str">
        <x:v>300750.SZ</x:v>
      </x:c>
      <x:c r="B48" s="13" t="str">
        <x:v>宁德时代</x:v>
      </x:c>
      <x:c r="C48" s="13" t="str">
        <x:v>2,734,017,000.0000</x:v>
      </x:c>
      <x:c r="D48" s="13" t="str">
        <x:v>72,201,282,000.0000</x:v>
      </x:c>
      <x:c r="E48" s="13" t="str">
        <x:v>974,827,544,000.0000</x:v>
      </x:c>
      <x:c r="F48" s="13" t="str">
        <x:v>3,879,076,000.0000</x:v>
      </x:c>
      <x:c r="G48" s="13" t="str">
        <x:v>52,032,846,000.0000</x:v>
      </x:c>
      <x:c r="H48" s="13" t="str">
        <x:v>786,658,123,000.0000</x:v>
      </x:c>
      <x:c r="I48" s="13" t="str">
        <x:v>717,168,041,000.0000</x:v>
      </x:c>
      <x:c r="J48" s="13" t="str">
        <x:v>510,142,088,000.0000</x:v>
      </x:c>
      <x:c r="K48" s="13" t="str">
        <x:v>362,012,554,000.0000</x:v>
      </x:c>
      <x:c r="L48" s="13" t="str">
        <x:v>317,171,534,000.0000</x:v>
      </x:c>
      <x:c r="M48" s="13" t="str">
        <x:v>146,937,736,000.0000</x:v>
      </x:c>
      <x:c r="N48" s="13" t="str">
        <x:v>513,201,950,000.0000</x:v>
      </x:c>
      <x:c r="O48" s="13" t="str">
        <x:v>362,012,554,000.0000</x:v>
      </x:c>
      <x:c r="P48" s="13" t="str">
        <x:v>31,179,943,000.0000</x:v>
      </x:c>
      <x:c r="Q48" s="13" t="str">
        <x:v>民营企业</x:v>
      </x:c>
      <x:c r="R48" s="13" t="str">
        <x:v>工业--电气设备--电气设备Ⅲ--电气部件与设备</x:v>
      </x:c>
    </x:row>
    <x:row r="49">
      <x:c r="A49" s="13" t="str">
        <x:v>300759.SZ</x:v>
      </x:c>
      <x:c r="B49" s="13" t="str">
        <x:v>康龙化成</x:v>
      </x:c>
      <x:c r="C49" s="13" t="str">
        <x:v>192,805,000.0000</x:v>
      </x:c>
      <x:c r="D49" s="13" t="str">
        <x:v>1,663,899,000.0000</x:v>
      </x:c>
      <x:c r="E49" s="13" t="str">
        <x:v>27,093,783,000.0000</x:v>
      </x:c>
      <x:c r="F49" s="13" t="str">
        <x:v>243,718,000.0000</x:v>
      </x:c>
      <x:c r="G49" s="13" t="str">
        <x:v>1,793,351,000.0000</x:v>
      </x:c>
      <x:c r="H49" s="13" t="str">
        <x:v>23,927,399,000.0000</x:v>
      </x:c>
      <x:c r="I49" s="13" t="str">
        <x:v>26,476,713,000.0000</x:v>
      </x:c>
      <x:c r="J49" s="13" t="str">
        <x:v>7,608,180,000.0000</x:v>
      </x:c>
      <x:c r="K49" s="13" t="str">
        <x:v>12,275,775,000.0000</x:v>
      </x:c>
      <x:c r="L49" s="13" t="str">
        <x:v>4,224,006,000.0000</x:v>
      </x:c>
      <x:c r="M49" s="13" t="str">
        <x:v>10,740,838,000.0000</x:v>
      </x:c>
      <x:c r="N49" s="13" t="str">
        <x:v>9,704,526,000.0000</x:v>
      </x:c>
      <x:c r="O49" s="13" t="str">
        <x:v>12,275,775,000.0000</x:v>
      </x:c>
      <x:c r="P49" s="13" t="str">
        <x:v>2,040,641,000.0000</x:v>
      </x:c>
      <x:c r="Q49" s="13" t="str">
        <x:v>民营企业</x:v>
      </x:c>
      <x:c r="R49" s="13" t="str">
        <x:v>医疗保健--医药生物--生命科学工具和服务Ⅲ--生命科学工具和服务Ⅳ</x:v>
      </x:c>
    </x:row>
    <x:row r="50">
      <x:c r="A50" s="13" t="str">
        <x:v>300760.SZ</x:v>
      </x:c>
      <x:c r="B50" s="13" t="str">
        <x:v>迈瑞医疗</x:v>
      </x:c>
      <x:c r="C50" s="13" t="str">
        <x:v>83,260,000.0000</x:v>
      </x:c>
      <x:c r="D50" s="13" t="str">
        <x:v>8,135,775,000.0000</x:v>
      </x:c>
      <x:c r="E50" s="13" t="str">
        <x:v>59,266,767,000.0000</x:v>
      </x:c>
      <x:c r="F50" s="13" t="str">
        <x:v>87,573,000.0000</x:v>
      </x:c>
      <x:c r="G50" s="13" t="str">
        <x:v>11,668,487,000.0000</x:v>
      </x:c>
      <x:c r="H50" s="13" t="str">
        <x:v>56,643,545,000.0000</x:v>
      </x:c>
      <x:c r="I50" s="13" t="str">
        <x:v>47,940,003,000.0000</x:v>
      </x:c>
      <x:c r="J50" s="13" t="str">
        <x:v>25,646,622,000.0000</x:v>
      </x:c>
      <x:c r="K50" s="13" t="str">
        <x:v>36,725,750,000.0000</x:v>
      </x:c>
      <x:c r="L50" s="13" t="str">
        <x:v>10,427,129,000.0000</x:v>
      </x:c>
      <x:c r="M50" s="13" t="str">
        <x:v>9,814,007,000.0000</x:v>
      </x:c>
      <x:c r="N50" s="13" t="str">
        <x:v>15,885,368,000.0000</x:v>
      </x:c>
      <x:c r="O50" s="13" t="str">
        <x:v>36,725,750,000.0000</x:v>
      </x:c>
      <x:c r="P50" s="13" t="str">
        <x:v>1,959,448,000.0000</x:v>
      </x:c>
      <x:c r="Q50" s="13" t="str">
        <x:v>民营企业</x:v>
      </x:c>
      <x:c r="R50" s="13" t="str">
        <x:v>医疗保健--医疗设备与服务--医疗保健设备与用品--医疗保健设备</x:v>
      </x:c>
    </x:row>
    <x:row r="51">
      <x:c r="A51" s="13" t="str">
        <x:v>300782.SZ</x:v>
      </x:c>
      <x:c r="B51" s="13" t="str">
        <x:v>卓胜微</x:v>
      </x:c>
      <x:c r="C51" s="13" t="str">
        <x:v>52,078,551.3300</x:v>
      </x:c>
      <x:c r="D51" s="13" t="str">
        <x:v>-292,878,971.2900</x:v>
      </x:c>
      <x:c r="E51" s="13" t="str">
        <x:v>15,468,761,986.7800</x:v>
      </x:c>
      <x:c r="F51" s="13" t="str">
        <x:v>21,378,761.7400</x:v>
      </x:c>
      <x:c r="G51" s="13" t="str">
        <x:v>401,826,648.5800</x:v>
      </x:c>
      <x:c r="H51" s="13" t="str">
        <x:v>14,232,842,014.4900</x:v>
      </x:c>
      <x:c r="I51" s="13" t="str">
        <x:v>10,957,700,894.9000</x:v>
      </x:c>
      <x:c r="J51" s="13" t="str">
        <x:v>5,016,425,768.9800</x:v>
      </x:c>
      <x:c r="K51" s="13" t="str">
        <x:v>4,470,291,492.4200</x:v>
      </x:c>
      <x:c r="L51" s="13" t="str">
        <x:v>2,970,571,763.4600</x:v>
      </x:c>
      <x:c r="M51" s="13" t="str">
        <x:v>8,237,840,796.7800</x:v>
      </x:c>
      <x:c r="N51" s="13" t="str">
        <x:v>4,032,035,044.0300</x:v>
      </x:c>
      <x:c r="O51" s="13" t="str">
        <x:v>4,470,291,492.4200</x:v>
      </x:c>
      <x:c r="P51" s="13" t="str">
        <x:v>1,868,129,167.2100</x:v>
      </x:c>
      <x:c r="Q51" s="13" t="str">
        <x:v>民营企业</x:v>
      </x:c>
      <x:c r="R51" s="13" t="str">
        <x:v>信息技术--半导体--半导体产品--集成电路</x:v>
      </x:c>
    </x:row>
    <x:row r="52">
      <x:c r="A52" s="13" t="str">
        <x:v>300803.SZ</x:v>
      </x:c>
      <x:c r="B52" s="13" t="str">
        <x:v>指南针</x:v>
      </x:c>
      <x:c r="C52" s="13" t="str">
        <x:v>28,253,212.0000</x:v>
      </x:c>
      <x:c r="D52" s="13" t="str">
        <x:v>227,916,215.0000</x:v>
      </x:c>
      <x:c r="E52" s="13" t="str">
        <x:v>15,297,047,896.0000</x:v>
      </x:c>
      <x:c r="F52" s="13" t="str">
        <x:v>19,471,381.0000</x:v>
      </x:c>
      <x:c r="G52" s="13" t="str">
        <x:v>104,197,092.0000</x:v>
      </x:c>
      <x:c r="H52" s="13" t="str">
        <x:v>10,873,691,318.0000</x:v>
      </x:c>
      <x:c r="I52" s="13" t="str">
        <x:v>5,430,841,906.0000</x:v>
      </x:c>
      <x:c r="J52" s="13" t="str">
        <x:v>8,618,952,450.0000</x:v>
      </x:c>
      <x:c r="K52" s="13" t="str">
        <x:v>1,197,190,817.0000</x:v>
      </x:c>
      <x:c r="L52" s="13" t="str">
        <x:v>7,847,184,469.0000</x:v>
      </x:c>
      <x:c r="M52" s="13" t="str">
        <x:v>378,752,358.0000</x:v>
      </x:c>
      <x:c r="N52" s="13" t="str">
        <x:v>8,647,998,414.0000</x:v>
      </x:c>
      <x:c r="O52" s="13" t="str">
        <x:v>1,197,190,817.0000</x:v>
      </x:c>
      <x:c r="P52" s="13" t="str">
        <x:v>117,983,040.0000</x:v>
      </x:c>
      <x:c r="Q52" s="13" t="str">
        <x:v>民营企业</x:v>
      </x:c>
      <x:c r="R52" s="13" t="str">
        <x:v>信息技术--软件服务--软件--应用软件</x:v>
      </x:c>
    </x:row>
    <x:row r="53">
      <x:c r="A53" s="13" t="str">
        <x:v>300832.SZ</x:v>
      </x:c>
      <x:c r="B53" s="13" t="str">
        <x:v>新产业</x:v>
      </x:c>
      <x:c r="C53" s="13" t="str">
        <x:v>-18,603,587.3100</x:v>
      </x:c>
      <x:c r="D53" s="13" t="str">
        <x:v>1,620,252,203.0200</x:v>
      </x:c>
      <x:c r="E53" s="13" t="str">
        <x:v>9,940,757,976.7900</x:v>
      </x:c>
      <x:c r="F53" s="13" t="str">
        <x:v>-34,748,744.2100</x:v>
      </x:c>
      <x:c r="G53" s="13" t="str">
        <x:v>1,828,456,618.2700</x:v>
      </x:c>
      <x:c r="H53" s="13" t="str">
        <x:v>9,619,453,527.1100</x:v>
      </x:c>
      <x:c r="I53" s="13" t="str">
        <x:v>8,222,488,843.6900</x:v>
      </x:c>
      <x:c r="J53" s="13" t="str">
        <x:v>5,055,963,543.0900</x:v>
      </x:c>
      <x:c r="K53" s="13" t="str">
        <x:v>4,519,401,590.0700</x:v>
      </x:c>
      <x:c r="L53" s="13" t="str">
        <x:v>908,743,088.5700</x:v>
      </x:c>
      <x:c r="M53" s="13" t="str">
        <x:v>1,688,667,656.5400</x:v>
      </x:c>
      <x:c r="N53" s="13" t="str">
        <x:v>1,042,846,052.2000</x:v>
      </x:c>
      <x:c r="O53" s="13" t="str">
        <x:v>4,519,401,590.0700</x:v>
      </x:c>
      <x:c r="P53" s="13" t="str">
        <x:v>439,197,982.3300</x:v>
      </x:c>
      <x:c r="Q53" s="13" t="str">
        <x:v>民营企业</x:v>
      </x:c>
      <x:c r="R53" s="13" t="str">
        <x:v>医疗保健--医疗设备与服务--医疗保健设备与用品--医疗保健设备</x:v>
      </x:c>
    </x:row>
    <x:row r="54">
      <x:c r="A54" s="13" t="str">
        <x:v>300866.SZ</x:v>
      </x:c>
      <x:c r="B54" s="13" t="str">
        <x:v>安克创新</x:v>
      </x:c>
      <x:c r="C54" s="13" t="str">
        <x:v>52,051,000.0000</x:v>
      </x:c>
      <x:c r="D54" s="13" t="str">
        <x:v>2,545,132,000.0000</x:v>
      </x:c>
      <x:c r="E54" s="13" t="str">
        <x:v>20,066,893,000.0000</x:v>
      </x:c>
      <x:c r="F54" s="13" t="str">
        <x:v>27,760,000.0000</x:v>
      </x:c>
      <x:c r="G54" s="13" t="str">
        <x:v>2,114,430,000.0000</x:v>
      </x:c>
      <x:c r="H54" s="13" t="str">
        <x:v>16,603,708,000.0000</x:v>
      </x:c>
      <x:c r="I54" s="13" t="str">
        <x:v>12,776,703,000.0000</x:v>
      </x:c>
      <x:c r="J54" s="13" t="str">
        <x:v>12,367,550,000.0000</x:v>
      </x:c>
      <x:c r="K54" s="13" t="str">
        <x:v>24,710,080,000.0000</x:v>
      </x:c>
      <x:c r="L54" s="13" t="str">
        <x:v>5,901,512,000.0000</x:v>
      </x:c>
      <x:c r="M54" s="13" t="str">
        <x:v>1,658,585,000.0000</x:v>
      </x:c>
      <x:c r="N54" s="13" t="str">
        <x:v>7,459,188,000.0000</x:v>
      </x:c>
      <x:c r="O54" s="13" t="str">
        <x:v>24,710,080,000.0000</x:v>
      </x:c>
      <x:c r="P54" s="13" t="str">
        <x:v>428,882,000.0000</x:v>
      </x:c>
      <x:c r="Q54" s="13" t="str">
        <x:v>民营企业</x:v>
      </x:c>
      <x:c r="R54" s="13" t="str">
        <x:v>信息技术--硬件设备--电子设备、仪器和元件--电子元件</x:v>
      </x:c>
    </x:row>
    <x:row r="55">
      <x:c r="A55" s="13" t="str">
        <x:v>300896.SZ</x:v>
      </x:c>
      <x:c r="B55" s="13" t="str">
        <x:v>爱美客</x:v>
      </x:c>
      <x:c r="C55" s="13" t="str">
        <x:v>7,502,332.9300</x:v>
      </x:c>
      <x:c r="D55" s="13" t="str">
        <x:v>1,291,017,682.2400</x:v>
      </x:c>
      <x:c r="E55" s="13" t="str">
        <x:v>8,908,047,716.9800</x:v>
      </x:c>
      <x:c r="F55" s="13" t="str">
        <x:v>-31,276,290.0600</x:v>
      </x:c>
      <x:c r="G55" s="13" t="str">
        <x:v>1,957,596,837.7400</x:v>
      </x:c>
      <x:c r="H55" s="13" t="str">
        <x:v>8,340,486,256.6400</x:v>
      </x:c>
      <x:c r="I55" s="13" t="str">
        <x:v>6,852,360,636.0100</x:v>
      </x:c>
      <x:c r="J55" s="13" t="str">
        <x:v>5,045,159,392.4800</x:v>
      </x:c>
      <x:c r="K55" s="13" t="str">
        <x:v>3,005,648,760.3800</x:v>
      </x:c>
      <x:c r="L55" s="13" t="str">
        <x:v>343,912,196.0100</x:v>
      </x:c>
      <x:c r="M55" s="13" t="str">
        <x:v>479,735,485.7200</x:v>
      </x:c>
      <x:c r="N55" s="13" t="str">
        <x:v>390,369,243.7200</x:v>
      </x:c>
      <x:c r="O55" s="13" t="str">
        <x:v>3,005,648,760.3800</x:v>
      </x:c>
      <x:c r="P55" s="13" t="str">
        <x:v>239,244,840.2400</x:v>
      </x:c>
      <x:c r="Q55" s="13" t="str">
        <x:v>民营企业</x:v>
      </x:c>
      <x:c r="R55" s="13" t="str">
        <x:v>医疗保健--医药生物--生物科技Ⅲ--生物科技Ⅳ</x:v>
      </x:c>
    </x:row>
    <x:row r="56">
      <x:c r="A56" s="13" t="str">
        <x:v>301236.SZ</x:v>
      </x:c>
      <x:c r="B56" s="13" t="str">
        <x:v>软通动力</x:v>
      </x:c>
      <x:c r="C56" s="13" t="str">
        <x:v>148,030,242.1100</x:v>
      </x:c>
      <x:c r="D56" s="13" t="str">
        <x:v>206,113,321.5400</x:v>
      </x:c>
      <x:c r="E56" s="13" t="str">
        <x:v>27,413,795,767.8100</x:v>
      </x:c>
      <x:c r="F56" s="13" t="str">
        <x:v>123,632,395.6900</x:v>
      </x:c>
      <x:c r="G56" s="13" t="str">
        <x:v>180,378,471.3800</x:v>
      </x:c>
      <x:c r="H56" s="13" t="str">
        <x:v>23,181,406,235.9700</x:v>
      </x:c>
      <x:c r="I56" s="13" t="str">
        <x:v>15,617,529,162.4500</x:v>
      </x:c>
      <x:c r="J56" s="13" t="str">
        <x:v>18,913,450,563.6200</x:v>
      </x:c>
      <x:c r="K56" s="13" t="str">
        <x:v>31,168,612,895.0500</x:v>
      </x:c>
      <x:c r="L56" s="13" t="str">
        <x:v>10,004,590,978.4300</x:v>
      </x:c>
      <x:c r="M56" s="13" t="str">
        <x:v>1,288,821,134.2300</x:v>
      </x:c>
      <x:c r="N56" s="13" t="str">
        <x:v>12,515,729,186.3800</x:v>
      </x:c>
      <x:c r="O56" s="13" t="str">
        <x:v>31,168,612,895.0500</x:v>
      </x:c>
      <x:c r="P56" s="13" t="str">
        <x:v>691,615,293.9600</x:v>
      </x:c>
      <x:c r="Q56" s="13" t="str">
        <x:v>民营企业</x:v>
      </x:c>
      <x:c r="R56" s="13" t="str">
        <x:v>信息技术--软件服务--信息技术服务--信息科技咨询与其它服务</x:v>
      </x:c>
    </x:row>
    <x:row r="57">
      <x:c r="A57" s="13" t="str">
        <x:v>600031.SH</x:v>
      </x:c>
      <x:c r="B57" s="13" t="str">
        <x:v>三一重工</x:v>
      </x:c>
      <x:c r="C57" s="13" t="str">
        <x:v>568,877,000.0000</x:v>
      </x:c>
      <x:c r="D57" s="13" t="str">
        <x:v>8,408,057,000.0000</x:v>
      </x:c>
      <x:c r="E57" s="13" t="str">
        <x:v>173,299,138,000.0000</x:v>
      </x:c>
      <x:c r="F57" s="13" t="str">
        <x:v>845,080,000.0000</x:v>
      </x:c>
      <x:c r="G57" s="13" t="str">
        <x:v>5,975,451,000.0000</x:v>
      </x:c>
      <x:c r="H57" s="13" t="str">
        <x:v>152,145,076,000.0000</x:v>
      </x:c>
      <x:c r="I57" s="13" t="str">
        <x:v>151,203,358,000.0000</x:v>
      </x:c>
      <x:c r="J57" s="13" t="str">
        <x:v>101,505,319,000.0000</x:v>
      </x:c>
      <x:c r="K57" s="13" t="str">
        <x:v>78,383,379,000.0000</x:v>
      </x:c>
      <x:c r="L57" s="13" t="str">
        <x:v>63,669,228,000.0000</x:v>
      </x:c>
      <x:c r="M57" s="13" t="str">
        <x:v>23,686,341,000.0000</x:v>
      </x:c>
      <x:c r="N57" s="13" t="str">
        <x:v>79,143,477,000.0000</x:v>
      </x:c>
      <x:c r="O57" s="13" t="str">
        <x:v>78,383,379,000.0000</x:v>
      </x:c>
      <x:c r="P57" s="13" t="str">
        <x:v>2,938,287,000.0000</x:v>
      </x:c>
      <x:c r="Q57" s="13" t="str">
        <x:v>民营企业</x:v>
      </x:c>
      <x:c r="R57" s="13" t="str">
        <x:v>工业--机械--机械Ⅲ--建筑机械与重型卡车</x:v>
      </x:c>
    </x:row>
    <x:row r="58">
      <x:c r="A58" s="13" t="str">
        <x:v>600066.SH</x:v>
      </x:c>
      <x:c r="B58" s="13" t="str">
        <x:v>宇通客车</x:v>
      </x:c>
      <x:c r="C58" s="13" t="str">
        <x:v>42,142,501.8300</x:v>
      </x:c>
      <x:c r="D58" s="13" t="str">
        <x:v>5,554,481,970.9000</x:v>
      </x:c>
      <x:c r="E58" s="13" t="str">
        <x:v>32,990,246,148.3300</x:v>
      </x:c>
      <x:c r="F58" s="13" t="str">
        <x:v>-98,391,390.3300</x:v>
      </x:c>
      <x:c r="G58" s="13" t="str">
        <x:v>4,116,194,422.5000</x:v>
      </x:c>
      <x:c r="H58" s="13" t="str">
        <x:v>32,150,894,481.8600</x:v>
      </x:c>
      <x:c r="I58" s="13" t="str">
        <x:v>30,856,955,973.4200</x:v>
      </x:c>
      <x:c r="J58" s="13" t="str">
        <x:v>21,031,107,509.1900</x:v>
      </x:c>
      <x:c r="K58" s="13" t="str">
        <x:v>36,767,928,693.6600</x:v>
      </x:c>
      <x:c r="L58" s="13" t="str">
        <x:v>14,489,218,998.5000</x:v>
      </x:c>
      <x:c r="M58" s="13" t="str">
        <x:v>3,802,173,072.5400</x:v>
      </x:c>
      <x:c r="N58" s="13" t="str">
        <x:v>18,493,383,044.7800</x:v>
      </x:c>
      <x:c r="O58" s="13" t="str">
        <x:v>36,767,928,693.6600</x:v>
      </x:c>
      <x:c r="P58" s="13" t="str">
        <x:v>695,759,304.8300</x:v>
      </x:c>
      <x:c r="Q58" s="13" t="str">
        <x:v>民营企业</x:v>
      </x:c>
      <x:c r="R58" s="13" t="str">
        <x:v>可选消费--汽车与零配件--汽车--汽车制造</x:v>
      </x:c>
    </x:row>
    <x:row r="59">
      <x:c r="A59" s="13" t="str">
        <x:v>600089.SH</x:v>
      </x:c>
      <x:c r="B59" s="13" t="str">
        <x:v>特变电工</x:v>
      </x:c>
      <x:c r="C59" s="13" t="str">
        <x:v>1,564,402,831.3500</x:v>
      </x:c>
      <x:c r="D59" s="13" t="str">
        <x:v>5,954,294,958.2500</x:v>
      </x:c>
      <x:c r="E59" s="13" t="str">
        <x:v>227,150,381,638.5900</x:v>
      </x:c>
      <x:c r="F59" s="13" t="str">
        <x:v>1,430,662,105.0800</x:v>
      </x:c>
      <x:c r="G59" s="13" t="str">
        <x:v>4,134,755,516.6500</x:v>
      </x:c>
      <x:c r="H59" s="13" t="str">
        <x:v>207,623,323,093.8400</x:v>
      </x:c>
      <x:c r="I59" s="13" t="str">
        <x:v>191,898,316,218.6100</x:v>
      </x:c>
      <x:c r="J59" s="13" t="str">
        <x:v>83,854,019,083.6100</x:v>
      </x:c>
      <x:c r="K59" s="13" t="str">
        <x:v>96,241,552,725.6500</x:v>
      </x:c>
      <x:c r="L59" s="13" t="str">
        <x:v>73,132,898,485.1900</x:v>
      </x:c>
      <x:c r="M59" s="13" t="str">
        <x:v>96,275,883,419.0700</x:v>
      </x:c>
      <x:c r="N59" s="13" t="str">
        <x:v>117,580,171,565.9700</x:v>
      </x:c>
      <x:c r="O59" s="13" t="str">
        <x:v>96,241,552,725.6500</x:v>
      </x:c>
      <x:c r="P59" s="13" t="str">
        <x:v>16,957,377,752.1300</x:v>
      </x:c>
      <x:c r="Q59" s="13" t="str">
        <x:v>民营企业</x:v>
      </x:c>
      <x:c r="R59" s="13" t="str">
        <x:v>工业--电气设备--电气设备Ⅲ--电气部件与设备</x:v>
      </x:c>
    </x:row>
    <x:row r="60">
      <x:c r="A60" s="13" t="str">
        <x:v>600196.SH</x:v>
      </x:c>
      <x:c r="B60" s="13" t="str">
        <x:v>复星医药</x:v>
      </x:c>
      <x:c r="C60" s="13" t="str">
        <x:v>1,265,351,000.0000</x:v>
      </x:c>
      <x:c r="D60" s="13" t="str">
        <x:v>3,370,562,000.0000</x:v>
      </x:c>
      <x:c r="E60" s="13" t="str">
        <x:v>120,015,592,000.0000</x:v>
      </x:c>
      <x:c r="F60" s="13" t="str">
        <x:v>1,431,915,000.0000</x:v>
      </x:c>
      <x:c r="G60" s="13" t="str">
        <x:v>2,769,886,000.0000</x:v>
      </x:c>
      <x:c r="H60" s="13" t="str">
        <x:v>117,422,190,000.0000</x:v>
      </x:c>
      <x:c r="I60" s="13" t="str">
        <x:v>113,431,227,000.0000</x:v>
      </x:c>
      <x:c r="J60" s="13" t="str">
        <x:v>34,491,060,000.0000</x:v>
      </x:c>
      <x:c r="K60" s="13" t="str">
        <x:v>40,909,878,000.0000</x:v>
      </x:c>
      <x:c r="L60" s="13" t="str">
        <x:v>37,452,669,000.0000</x:v>
      </x:c>
      <x:c r="M60" s="13" t="str">
        <x:v>22,001,615,000.0000</x:v>
      </x:c>
      <x:c r="N60" s="13" t="str">
        <x:v>57,526,838,000.0000</x:v>
      </x:c>
      <x:c r="O60" s="13" t="str">
        <x:v>40,909,878,000.0000</x:v>
      </x:c>
      <x:c r="P60" s="13" t="str">
        <x:v>4,410,191,000.0000</x:v>
      </x:c>
      <x:c r="Q60" s="13" t="str">
        <x:v>民营企业</x:v>
      </x:c>
      <x:c r="R60" s="13" t="str">
        <x:v>医疗保健--医药生物--制药--西药</x:v>
      </x:c>
    </x:row>
    <x:row r="61">
      <x:c r="A61" s="13" t="str">
        <x:v>600233.SH</x:v>
      </x:c>
      <x:c r="B61" s="13" t="str">
        <x:v>圆通速递</x:v>
      </x:c>
      <x:c r="C61" s="13" t="str">
        <x:v>46,201,941.5500</x:v>
      </x:c>
      <x:c r="D61" s="13" t="str">
        <x:v>4,322,350,576.0400</x:v>
      </x:c>
      <x:c r="E61" s="13" t="str">
        <x:v>54,177,859,555.9000</x:v>
      </x:c>
      <x:c r="F61" s="13" t="str">
        <x:v>120,206,387.5200</x:v>
      </x:c>
      <x:c r="G61" s="13" t="str">
        <x:v>4,012,333,934.9600</x:v>
      </x:c>
      <x:c r="H61" s="13" t="str">
        <x:v>48,294,063,910.0000</x:v>
      </x:c>
      <x:c r="I61" s="13" t="str">
        <x:v>43,367,039,940.9200</x:v>
      </x:c>
      <x:c r="J61" s="13" t="str">
        <x:v>15,238,484,896.0000</x:v>
      </x:c>
      <x:c r="K61" s="13" t="str">
        <x:v>68,774,014,137.8600</x:v>
      </x:c>
      <x:c r="L61" s="13" t="str">
        <x:v>13,754,946,715.1200</x:v>
      </x:c>
      <x:c r="M61" s="13" t="str">
        <x:v>23,539,630,718.9700</x:v>
      </x:c>
      <x:c r="N61" s="13" t="str">
        <x:v>16,085,981,310.7800</x:v>
      </x:c>
      <x:c r="O61" s="13" t="str">
        <x:v>68,774,014,137.8600</x:v>
      </x:c>
      <x:c r="P61" s="13" t="str">
        <x:v>6,768,343,060.8500</x:v>
      </x:c>
      <x:c r="Q61" s="13" t="str">
        <x:v>民营企业</x:v>
      </x:c>
      <x:c r="R61" s="13" t="str">
        <x:v>工业--交通运输--航空运输--航空货运与物流</x:v>
      </x:c>
    </x:row>
    <x:row r="62">
      <x:c r="A62" s="13" t="str">
        <x:v>600276.SH</x:v>
      </x:c>
      <x:c r="B62" s="13" t="str">
        <x:v>恒瑞医药</x:v>
      </x:c>
      <x:c r="C62" s="13" t="str">
        <x:v>14,349,000.0000</x:v>
      </x:c>
      <x:c r="D62" s="13" t="str">
        <x:v>7,711,055,000.0000</x:v>
      </x:c>
      <x:c r="E62" s="13" t="str">
        <x:v>69,867,316,000.0000</x:v>
      </x:c>
      <x:c r="F62" s="13" t="str">
        <x:v>5,559,000.0000</x:v>
      </x:c>
      <x:c r="G62" s="13" t="str">
        <x:v>6,336,527,000.0000</x:v>
      </x:c>
      <x:c r="H62" s="13" t="str">
        <x:v>50,135,644,000.0000</x:v>
      </x:c>
      <x:c r="I62" s="13" t="str">
        <x:v>43,784,507,000.0000</x:v>
      </x:c>
      <x:c r="J62" s="13" t="str">
        <x:v>35,314,927,000.0000</x:v>
      </x:c>
      <x:c r="K62" s="13" t="str">
        <x:v>27,984,605,000.0000</x:v>
      </x:c>
      <x:c r="L62" s="13" t="str">
        <x:v>3,633,595,000.0000</x:v>
      </x:c>
      <x:c r="M62" s="13" t="str">
        <x:v>7,094,142,000.0000</x:v>
      </x:c>
      <x:c r="N62" s="13" t="str">
        <x:v>4,045,393,000.0000</x:v>
      </x:c>
      <x:c r="O62" s="13" t="str">
        <x:v>27,984,605,000.0000</x:v>
      </x:c>
      <x:c r="P62" s="13" t="str">
        <x:v>1,969,198,000.0000</x:v>
      </x:c>
      <x:c r="Q62" s="13" t="str">
        <x:v>民营企业</x:v>
      </x:c>
      <x:c r="R62" s="13" t="str">
        <x:v>医疗保健--医药生物--制药--西药</x:v>
      </x:c>
    </x:row>
    <x:row r="63">
      <x:c r="A63" s="13" t="str">
        <x:v>600346.SH</x:v>
      </x:c>
      <x:c r="B63" s="13" t="str">
        <x:v>恒力石化</x:v>
      </x:c>
      <x:c r="C63" s="13" t="str">
        <x:v>4,383,391,966.0000</x:v>
      </x:c>
      <x:c r="D63" s="13" t="str">
        <x:v>7,074,582,387.5300</x:v>
      </x:c>
      <x:c r="E63" s="13" t="str">
        <x:v>262,258,989,534.3800</x:v>
      </x:c>
      <x:c r="F63" s="13" t="str">
        <x:v>5,233,634,108.2500</x:v>
      </x:c>
      <x:c r="G63" s="13" t="str">
        <x:v>7,043,568,223.6000</x:v>
      </x:c>
      <x:c r="H63" s="13" t="str">
        <x:v>273,082,869,863.4000</x:v>
      </x:c>
      <x:c r="I63" s="13" t="str">
        <x:v>260,599,020,914.5500</x:v>
      </x:c>
      <x:c r="J63" s="13" t="str">
        <x:v>73,269,556,146.6600</x:v>
      </x:c>
      <x:c r="K63" s="13" t="str">
        <x:v>229,849,668,623.0400</x:v>
      </x:c>
      <x:c r="L63" s="13" t="str">
        <x:v>130,879,306,067.0500</x:v>
      </x:c>
      <x:c r="M63" s="13" t="str">
        <x:v>185,402,272,543.3100</x:v>
      </x:c>
      <x:c r="N63" s="13" t="str">
        <x:v>209,665,307,046.1600</x:v>
      </x:c>
      <x:c r="O63" s="13" t="str">
        <x:v>229,849,668,623.0400</x:v>
      </x:c>
      <x:c r="P63" s="13" t="str">
        <x:v>21,814,133,827.5100</x:v>
      </x:c>
      <x:c r="Q63" s="13" t="str">
        <x:v>民营企业</x:v>
      </x:c>
      <x:c r="R63" s="13" t="str">
        <x:v>能源--石油石化--石油天然气--石油天然气炼制和销售</x:v>
      </x:c>
    </x:row>
    <x:row r="64">
      <x:c r="A64" s="13" t="str">
        <x:v>600438.SH</x:v>
      </x:c>
      <x:c r="B64" s="13" t="str">
        <x:v>通威股份</x:v>
      </x:c>
      <x:c r="C64" s="13" t="str">
        <x:v>2,717,686,625.5900</x:v>
      </x:c>
      <x:c r="D64" s="13" t="str">
        <x:v>-9,553,425,884.0600</x:v>
      </x:c>
      <x:c r="E64" s="13" t="str">
        <x:v>187,779,256,397.6300</x:v>
      </x:c>
      <x:c r="F64" s="13" t="str">
        <x:v>2,002,478,504.2400</x:v>
      </x:c>
      <x:c r="G64" s="13" t="str">
        <x:v>-7,038,757,392.5400</x:v>
      </x:c>
      <x:c r="H64" s="13" t="str">
        <x:v>195,916,763,061.9900</x:v>
      </x:c>
      <x:c r="I64" s="13" t="str">
        <x:v>164,363,161,459.6600</x:v>
      </x:c>
      <x:c r="J64" s="13" t="str">
        <x:v>66,192,918,621.7500</x:v>
      </x:c>
      <x:c r="K64" s="13" t="str">
        <x:v>91,551,949,878.9200</x:v>
      </x:c>
      <x:c r="L64" s="13" t="str">
        <x:v>56,538,075,361.4400</x:v>
      </x:c>
      <x:c r="M64" s="13" t="str">
        <x:v>107,275,734,799.8700</x:v>
      </x:c>
      <x:c r="N64" s="13" t="str">
        <x:v>137,997,611,563.2600</x:v>
      </x:c>
      <x:c r="O64" s="13" t="str">
        <x:v>91,551,949,878.9200</x:v>
      </x:c>
      <x:c r="P64" s="13" t="str">
        <x:v>28,388,183,026.9400</x:v>
      </x:c>
      <x:c r="Q64" s="13" t="str">
        <x:v>民营企业</x:v>
      </x:c>
      <x:c r="R64" s="13" t="str">
        <x:v>工业--电气设备--电气设备Ⅲ--光伏设备</x:v>
      </x:c>
    </x:row>
    <x:row r="65">
      <x:c r="A65" s="13" t="str">
        <x:v>600460.SH</x:v>
      </x:c>
      <x:c r="B65" s="13" t="str">
        <x:v>士兰微</x:v>
      </x:c>
      <x:c r="C65" s="13" t="str">
        <x:v>193,368,396.4000</x:v>
      </x:c>
      <x:c r="D65" s="13" t="str">
        <x:v>398,550,840.0300</x:v>
      </x:c>
      <x:c r="E65" s="13" t="str">
        <x:v>26,768,101,138.8700</x:v>
      </x:c>
      <x:c r="F65" s="13" t="str">
        <x:v>201,965,644.6200</x:v>
      </x:c>
      <x:c r="G65" s="13" t="str">
        <x:v>219,867,848.4700</x:v>
      </x:c>
      <x:c r="H65" s="13" t="str">
        <x:v>24,796,971,085.7500</x:v>
      </x:c>
      <x:c r="I65" s="13" t="str">
        <x:v>23,907,585,687.7600</x:v>
      </x:c>
      <x:c r="J65" s="13" t="str">
        <x:v>13,351,023,940.0700</x:v>
      </x:c>
      <x:c r="K65" s="13" t="str">
        <x:v>11,168,154,320.1400</x:v>
      </x:c>
      <x:c r="L65" s="13" t="str">
        <x:v>7,184,827,200.7300</x:v>
      </x:c>
      <x:c r="M65" s="13" t="str">
        <x:v>8,676,675,543.1300</x:v>
      </x:c>
      <x:c r="N65" s="13" t="str">
        <x:v>10,973,389,039.1300</x:v>
      </x:c>
      <x:c r="O65" s="13" t="str">
        <x:v>11,168,154,320.1400</x:v>
      </x:c>
      <x:c r="P65" s="13" t="str">
        <x:v>1,681,179,247.1800</x:v>
      </x:c>
      <x:c r="Q65" s="13" t="str">
        <x:v>民营企业</x:v>
      </x:c>
      <x:c r="R65" s="13" t="str">
        <x:v>信息技术--半导体--半导体产品--分立器件</x:v>
      </x:c>
    </x:row>
    <x:row r="66">
      <x:c r="A66" s="13" t="str">
        <x:v>600522.SH</x:v>
      </x:c>
      <x:c r="B66" s="13" t="str">
        <x:v>中天科技</x:v>
      </x:c>
      <x:c r="C66" s="13" t="str">
        <x:v>-105,430,079.4600</x:v>
      </x:c>
      <x:c r="D66" s="13" t="str">
        <x:v>2,902,294,275.4900</x:v>
      </x:c>
      <x:c r="E66" s="13" t="str">
        <x:v>62,112,702,334.2400</x:v>
      </x:c>
      <x:c r="F66" s="13" t="str">
        <x:v>13,165,133.5500</x:v>
      </x:c>
      <x:c r="G66" s="13" t="str">
        <x:v>2,837,918,547.8700</x:v>
      </x:c>
      <x:c r="H66" s="13" t="str">
        <x:v>58,324,381,816.1400</x:v>
      </x:c>
      <x:c r="I66" s="13" t="str">
        <x:v>54,730,839,119.8600</x:v>
      </x:c>
      <x:c r="J66" s="13" t="str">
        <x:v>41,507,969,978.6700</x:v>
      </x:c>
      <x:c r="K66" s="13" t="str">
        <x:v>47,880,280,727.1400</x:v>
      </x:c>
      <x:c r="L66" s="13" t="str">
        <x:v>19,589,768,956.1500</x:v>
      </x:c>
      <x:c r="M66" s="13" t="str">
        <x:v>11,213,861,697.4900</x:v>
      </x:c>
      <x:c r="N66" s="13" t="str">
        <x:v>22,509,070,977.3600</x:v>
      </x:c>
      <x:c r="O66" s="13" t="str">
        <x:v>47,880,280,727.1400</x:v>
      </x:c>
      <x:c r="P66" s="13" t="str">
        <x:v>1,701,661,444.4700</x:v>
      </x:c>
      <x:c r="Q66" s="13" t="str">
        <x:v>民营企业</x:v>
      </x:c>
      <x:c r="R66" s="13" t="str">
        <x:v>信息技术--硬件设备--通信设备Ⅲ--通信设备Ⅳ</x:v>
      </x:c>
    </x:row>
    <x:row r="67">
      <x:c r="A67" s="13" t="str">
        <x:v>600588.SH</x:v>
      </x:c>
      <x:c r="B67" s="13" t="str">
        <x:v>用友网络</x:v>
      </x:c>
      <x:c r="C67" s="13" t="str">
        <x:v>142,321,486.0000</x:v>
      </x:c>
      <x:c r="D67" s="13" t="str">
        <x:v>-1,389,222,622.0000</x:v>
      </x:c>
      <x:c r="E67" s="13" t="str">
        <x:v>21,631,280,327.0000</x:v>
      </x:c>
      <x:c r="F67" s="13" t="str">
        <x:v>178,302,000.0000</x:v>
      </x:c>
      <x:c r="G67" s="13" t="str">
        <x:v>-2,061,309,000.0000</x:v>
      </x:c>
      <x:c r="H67" s="13" t="str">
        <x:v>24,156,836,000.0000</x:v>
      </x:c>
      <x:c r="I67" s="13" t="str">
        <x:v>25,521,041,000.0000</x:v>
      </x:c>
      <x:c r="J67" s="13" t="str">
        <x:v>11,031,272,000.0000</x:v>
      </x:c>
      <x:c r="K67" s="13" t="str">
        <x:v>8,817,429,000.0000</x:v>
      </x:c>
      <x:c r="L67" s="13" t="str">
        <x:v>12,365,043,000.0000</x:v>
      </x:c>
      <x:c r="M67" s="13" t="str">
        <x:v>2,897,262,000.0000</x:v>
      </x:c>
      <x:c r="N67" s="13" t="str">
        <x:v>14,357,360,000.0000</x:v>
      </x:c>
      <x:c r="O67" s="13" t="str">
        <x:v>8,817,429,000.0000</x:v>
      </x:c>
      <x:c r="P67" s="13" t="str">
        <x:v>1,758,998,000.0000</x:v>
      </x:c>
      <x:c r="Q67" s="13" t="str">
        <x:v>民营企业</x:v>
      </x:c>
      <x:c r="R67" s="13" t="str">
        <x:v>信息技术--软件服务--软件--应用软件</x:v>
      </x:c>
    </x:row>
    <x:row r="68">
      <x:c r="A68" s="13" t="str">
        <x:v>600803.SH</x:v>
      </x:c>
      <x:c r="B68" s="13" t="str">
        <x:v>新奥股份</x:v>
      </x:c>
      <x:c r="C68" s="13" t="str">
        <x:v>479,670,000.0000</x:v>
      </x:c>
      <x:c r="D68" s="13" t="str">
        <x:v>4,681,320,000.0000</x:v>
      </x:c>
      <x:c r="E68" s="13" t="str">
        <x:v>135,284,300,000.0000</x:v>
      </x:c>
      <x:c r="F68" s="13" t="str">
        <x:v>1,137,000,000.0000</x:v>
      </x:c>
      <x:c r="G68" s="13" t="str">
        <x:v>4,493,000,000.0000</x:v>
      </x:c>
      <x:c r="H68" s="13" t="str">
        <x:v>132,486,000,000.0000</x:v>
      </x:c>
      <x:c r="I68" s="13" t="str">
        <x:v>134,575,000,000.0000</x:v>
      </x:c>
      <x:c r="J68" s="13" t="str">
        <x:v>36,009,000,000.0000</x:v>
      </x:c>
      <x:c r="K68" s="13" t="str">
        <x:v>131,715,000,000.0000</x:v>
      </x:c>
      <x:c r="L68" s="13" t="str">
        <x:v>43,453,000,000.0000</x:v>
      </x:c>
      <x:c r="M68" s="13" t="str">
        <x:v>68,061,000,000.0000</x:v>
      </x:c>
      <x:c r="N68" s="13" t="str">
        <x:v>71,943,000,000.0000</x:v>
      </x:c>
      <x:c r="O68" s="13" t="str">
        <x:v>131,715,000,000.0000</x:v>
      </x:c>
      <x:c r="P68" s="13" t="str">
        <x:v>8,329,000,000.0000</x:v>
      </x:c>
      <x:c r="Q68" s="13" t="str">
        <x:v>民营企业</x:v>
      </x:c>
      <x:c r="R68" s="13" t="str">
        <x:v>公用事业--公用事业Ⅱ--燃气Ⅲ--燃气Ⅳ</x:v>
      </x:c>
    </x:row>
    <x:row r="69">
      <x:c r="A69" s="13" t="str">
        <x:v>600989.SH</x:v>
      </x:c>
      <x:c r="B69" s="13" t="str">
        <x:v>宝丰能源</x:v>
      </x:c>
      <x:c r="C69" s="13" t="str">
        <x:v>1,139,814,907.3800</x:v>
      </x:c>
      <x:c r="D69" s="13" t="str">
        <x:v>11,350,295,509.6500</x:v>
      </x:c>
      <x:c r="E69" s="13" t="str">
        <x:v>90,152,489,325.3700</x:v>
      </x:c>
      <x:c r="F69" s="13" t="str">
        <x:v>744,402,340.6600</x:v>
      </x:c>
      <x:c r="G69" s="13" t="str">
        <x:v>6,337,676,311.6300</x:v>
      </x:c>
      <x:c r="H69" s="13" t="str">
        <x:v>89,566,217,563.1700</x:v>
      </x:c>
      <x:c r="I69" s="13" t="str">
        <x:v>71,630,299,331.5800</x:v>
      </x:c>
      <x:c r="J69" s="13" t="str">
        <x:v>4,785,824,996.4800</x:v>
      </x:c>
      <x:c r="K69" s="13" t="str">
        <x:v>32,338,064,155.8300</x:v>
      </x:c>
      <x:c r="L69" s="13" t="str">
        <x:v>21,250,374,260.5800</x:v>
      </x:c>
      <x:c r="M69" s="13" t="str">
        <x:v>73,342,009,883.6400</x:v>
      </x:c>
      <x:c r="N69" s="13" t="str">
        <x:v>46,559,996,654.9700</x:v>
      </x:c>
      <x:c r="O69" s="13" t="str">
        <x:v>32,338,064,155.8300</x:v>
      </x:c>
      <x:c r="P69" s="13" t="str">
        <x:v>11,529,080,272.7600</x:v>
      </x:c>
      <x:c r="Q69" s="13" t="str">
        <x:v>民营企业</x:v>
      </x:c>
      <x:c r="R69" s="13" t="str">
        <x:v>材料--化工--基础化工--商品化工</x:v>
      </x:c>
    </x:row>
    <x:row r="70">
      <x:c r="A70" s="13" t="str">
        <x:v>601012.SH</x:v>
      </x:c>
      <x:c r="B70" s="13" t="str">
        <x:v>隆基绿能</x:v>
      </x:c>
      <x:c r="C70" s="13" t="str">
        <x:v>116,536,191.1100</x:v>
      </x:c>
      <x:c r="D70" s="13" t="str">
        <x:v>-6,419,556,843.8500</x:v>
      </x:c>
      <x:c r="E70" s="13" t="str">
        <x:v>153,803,608,808.2900</x:v>
      </x:c>
      <x:c r="F70" s="13" t="str">
        <x:v>-237,167,820.8500</x:v>
      </x:c>
      <x:c r="G70" s="13" t="str">
        <x:v>-8,617,528,506.4400</x:v>
      </x:c>
      <x:c r="H70" s="13" t="str">
        <x:v>152,844,602,368.0500</x:v>
      </x:c>
      <x:c r="I70" s="13" t="str">
        <x:v>163,969,201,409.9100</x:v>
      </x:c>
      <x:c r="J70" s="13" t="str">
        <x:v>90,023,010,481.6900</x:v>
      </x:c>
      <x:c r="K70" s="13" t="str">
        <x:v>82,246,885,172.5900</x:v>
      </x:c>
      <x:c r="L70" s="13" t="str">
        <x:v>60,293,087,421.4700</x:v>
      </x:c>
      <x:c r="M70" s="13" t="str">
        <x:v>40,607,351,445.5300</x:v>
      </x:c>
      <x:c r="N70" s="13" t="str">
        <x:v>91,443,923,169.1800</x:v>
      </x:c>
      <x:c r="O70" s="13" t="str">
        <x:v>82,246,885,172.5900</x:v>
      </x:c>
      <x:c r="P70" s="13" t="str">
        <x:v>8,013,068,271.5300</x:v>
      </x:c>
      <x:c r="Q70" s="13" t="str">
        <x:v>民营企业</x:v>
      </x:c>
      <x:c r="R70" s="13" t="str">
        <x:v>工业--电气设备--电气设备Ⅲ--光伏设备</x:v>
      </x:c>
    </x:row>
    <x:row r="71">
      <x:c r="A71" s="13" t="str">
        <x:v>601021.SH</x:v>
      </x:c>
      <x:c r="B71" s="13" t="str">
        <x:v>春秋航空</x:v>
      </x:c>
      <x:c r="C71" s="13" t="str">
        <x:v>305,192,659.0000</x:v>
      </x:c>
      <x:c r="D71" s="13" t="str">
        <x:v>2,317,401,673.0000</x:v>
      </x:c>
      <x:c r="E71" s="13" t="str">
        <x:v>46,876,574,409.0000</x:v>
      </x:c>
      <x:c r="F71" s="13" t="str">
        <x:v>266,403,278.0000</x:v>
      </x:c>
      <x:c r="G71" s="13" t="str">
        <x:v>2,272,944,296.0000</x:v>
      </x:c>
      <x:c r="H71" s="13" t="str">
        <x:v>43,835,011,780.0000</x:v>
      </x:c>
      <x:c r="I71" s="13" t="str">
        <x:v>44,237,902,712.0000</x:v>
      </x:c>
      <x:c r="J71" s="13" t="str">
        <x:v>12,012,791,810.0000</x:v>
      </x:c>
      <x:c r="K71" s="13" t="str">
        <x:v>19,961,559,760.0000</x:v>
      </x:c>
      <x:c r="L71" s="13" t="str">
        <x:v>9,048,743,906.0000</x:v>
      </x:c>
      <x:c r="M71" s="13" t="str">
        <x:v>27,134,658,121.0000</x:v>
      </x:c>
      <x:c r="N71" s="13" t="str">
        <x:v>26,454,116,508.0000</x:v>
      </x:c>
      <x:c r="O71" s="13" t="str">
        <x:v>19,961,559,760.0000</x:v>
      </x:c>
      <x:c r="P71" s="13" t="str">
        <x:v>7,213,702,510.0000</x:v>
      </x:c>
      <x:c r="Q71" s="13" t="str">
        <x:v>民营企业</x:v>
      </x:c>
      <x:c r="R71" s="13" t="str">
        <x:v>工业--交通运输--航空客运Ⅲ--航空客运Ⅳ</x:v>
      </x:c>
    </x:row>
    <x:row r="72">
      <x:c r="A72" s="13" t="str">
        <x:v>601058.SH</x:v>
      </x:c>
      <x:c r="B72" s="13" t="str">
        <x:v>赛轮轮胎</x:v>
      </x:c>
      <x:c r="C72" s="13" t="str">
        <x:v>396,468,014.3700</x:v>
      </x:c>
      <x:c r="D72" s="13" t="str">
        <x:v>3,522,493,083.5100</x:v>
      </x:c>
      <x:c r="E72" s="13" t="str">
        <x:v>46,770,401,485.6100</x:v>
      </x:c>
      <x:c r="F72" s="13" t="str">
        <x:v>351,346,745.0200</x:v>
      </x:c>
      <x:c r="G72" s="13" t="str">
        <x:v>4,062,674,002.7000</x:v>
      </x:c>
      <x:c r="H72" s="13" t="str">
        <x:v>40,284,983,406.7900</x:v>
      </x:c>
      <x:c r="I72" s="13" t="str">
        <x:v>33,725,713,539.7800</x:v>
      </x:c>
      <x:c r="J72" s="13" t="str">
        <x:v>19,500,010,351.8500</x:v>
      </x:c>
      <x:c r="K72" s="13" t="str">
        <x:v>31,692,513,020.3800</x:v>
      </x:c>
      <x:c r="L72" s="13" t="str">
        <x:v>15,732,563,871.1900</x:v>
      </x:c>
      <x:c r="M72" s="13" t="str">
        <x:v>16,121,396,093.7000</x:v>
      </x:c>
      <x:c r="N72" s="13" t="str">
        <x:v>19,713,262,347.7200</x:v>
      </x:c>
      <x:c r="O72" s="13" t="str">
        <x:v>31,692,513,020.3800</x:v>
      </x:c>
      <x:c r="P72" s="13" t="str">
        <x:v>4,024,462,509.9200</x:v>
      </x:c>
      <x:c r="Q72" s="13" t="str">
        <x:v>民营企业</x:v>
      </x:c>
      <x:c r="R72" s="13" t="str">
        <x:v>可选消费--汽车与零配件--汽车零配件--轮胎与橡胶</x:v>
      </x:c>
    </x:row>
    <x:row r="73">
      <x:c r="A73" s="13" t="str">
        <x:v>601100.SH</x:v>
      </x:c>
      <x:c r="B73" s="13" t="str">
        <x:v>恒立液压</x:v>
      </x:c>
      <x:c r="C73" s="13" t="str">
        <x:v>5,913,801.7800</x:v>
      </x:c>
      <x:c r="D73" s="13" t="str">
        <x:v>2,734,121,067.3200</x:v>
      </x:c>
      <x:c r="E73" s="13" t="str">
        <x:v>21,670,965,419.6400</x:v>
      </x:c>
      <x:c r="F73" s="13" t="str">
        <x:v>-131,409,879.3000</x:v>
      </x:c>
      <x:c r="G73" s="13" t="str">
        <x:v>2,508,706,743.0000</x:v>
      </x:c>
      <x:c r="H73" s="13" t="str">
        <x:v>19,638,650,656.8300</x:v>
      </x:c>
      <x:c r="I73" s="13" t="str">
        <x:v>17,895,562,755.8300</x:v>
      </x:c>
      <x:c r="J73" s="13" t="str">
        <x:v>13,830,401,886.0900</x:v>
      </x:c>
      <x:c r="K73" s="13" t="str">
        <x:v>9,299,657,329.9700</x:v>
      </x:c>
      <x:c r="L73" s="13" t="str">
        <x:v>3,379,240,270.7500</x:v>
      </x:c>
      <x:c r="M73" s="13" t="str">
        <x:v>4,972,811,332.6900</x:v>
      </x:c>
      <x:c r="N73" s="13" t="str">
        <x:v>3,810,271,530.8900</x:v>
      </x:c>
      <x:c r="O73" s="13" t="str">
        <x:v>9,299,657,329.9700</x:v>
      </x:c>
      <x:c r="P73" s="13" t="str">
        <x:v>1,071,369,421.7200</x:v>
      </x:c>
      <x:c r="Q73" s="13" t="str">
        <x:v>民营企业</x:v>
      </x:c>
      <x:c r="R73" s="13" t="str">
        <x:v>工业--机械--机械Ⅲ--工业机械</x:v>
      </x:c>
    </x:row>
    <x:row r="74">
      <x:c r="A74" s="13" t="str">
        <x:v>601127.SH</x:v>
      </x:c>
      <x:c r="B74" s="13" t="str">
        <x:v>赛力斯</x:v>
      </x:c>
      <x:c r="C74" s="13" t="str">
        <x:v>198,656,000.0000</x:v>
      </x:c>
      <x:c r="D74" s="13" t="str">
        <x:v>5,956,787,000.0000</x:v>
      </x:c>
      <x:c r="E74" s="13" t="str">
        <x:v>143,905,863,000.0000</x:v>
      </x:c>
      <x:c r="F74" s="13" t="str">
        <x:v>240,382,000.0000</x:v>
      </x:c>
      <x:c r="G74" s="13" t="str">
        <x:v>5,945,945,000.0000</x:v>
      </x:c>
      <x:c r="H74" s="13" t="str">
        <x:v>94,363,958,000.0000</x:v>
      </x:c>
      <x:c r="I74" s="13" t="str">
        <x:v>51,244,671,000.0000</x:v>
      </x:c>
      <x:c r="J74" s="13" t="str">
        <x:v>65,997,852,000.0000</x:v>
      </x:c>
      <x:c r="K74" s="13" t="str">
        <x:v>145,113,623,000.0000</x:v>
      </x:c>
      <x:c r="L74" s="13" t="str">
        <x:v>76,264,794,000.0000</x:v>
      </x:c>
      <x:c r="M74" s="13" t="str">
        <x:v>10,063,416,000.0000</x:v>
      </x:c>
      <x:c r="N74" s="13" t="str">
        <x:v>82,458,401,000.0000</x:v>
      </x:c>
      <x:c r="O74" s="13" t="str">
        <x:v>145,113,623,000.0000</x:v>
      </x:c>
      <x:c r="P74" s="13" t="str">
        <x:v>7,143,934,000.0000</x:v>
      </x:c>
      <x:c r="Q74" s="13" t="str">
        <x:v>民营企业</x:v>
      </x:c>
      <x:c r="R74" s="13" t="str">
        <x:v>可选消费--汽车与零配件--汽车--汽车制造</x:v>
      </x:c>
    </x:row>
    <x:row r="75">
      <x:c r="A75" s="13" t="str">
        <x:v>601360.SH</x:v>
      </x:c>
      <x:c r="B75" s="13" t="str">
        <x:v>三六零</x:v>
      </x:c>
      <x:c r="C75" s="13" t="str">
        <x:v>-635,560,000.0000</x:v>
      </x:c>
      <x:c r="D75" s="13" t="str">
        <x:v>263,013,000.0000</x:v>
      </x:c>
      <x:c r="E75" s="13" t="str">
        <x:v>37,516,528,000.0000</x:v>
      </x:c>
      <x:c r="F75" s="13" t="str">
        <x:v>-763,489,000.0000</x:v>
      </x:c>
      <x:c r="G75" s="13" t="str">
        <x:v>-1,093,799,000.0000</x:v>
      </x:c>
      <x:c r="H75" s="13" t="str">
        <x:v>38,256,187,000.0000</x:v>
      </x:c>
      <x:c r="I75" s="13" t="str">
        <x:v>40,168,367,000.0000</x:v>
      </x:c>
      <x:c r="J75" s="13" t="str">
        <x:v>26,666,381,000.0000</x:v>
      </x:c>
      <x:c r="K75" s="13" t="str">
        <x:v>7,870,205,000.0000</x:v>
      </x:c>
      <x:c r="L75" s="13" t="str">
        <x:v>6,511,410,000.0000</x:v>
      </x:c>
      <x:c r="M75" s="13" t="str">
        <x:v>1,505,625,000.0000</x:v>
      </x:c>
      <x:c r="N75" s="13" t="str">
        <x:v>8,120,824,000.0000</x:v>
      </x:c>
      <x:c r="O75" s="13" t="str">
        <x:v>7,870,205,000.0000</x:v>
      </x:c>
      <x:c r="P75" s="13" t="str">
        <x:v>758,655,000.0000</x:v>
      </x:c>
      <x:c r="Q75" s="13" t="str">
        <x:v>民营企业</x:v>
      </x:c>
      <x:c r="R75" s="13" t="str">
        <x:v>信息技术--软件服务--软件--应用软件</x:v>
      </x:c>
    </x:row>
    <x:row r="76">
      <x:c r="A76" s="13" t="str">
        <x:v>601633.SH</x:v>
      </x:c>
      <x:c r="B76" s="13" t="str">
        <x:v>长城汽车</x:v>
      </x:c>
      <x:c r="C76" s="13" t="str">
        <x:v>735,538,728.3200</x:v>
      </x:c>
      <x:c r="D76" s="13" t="str">
        <x:v>9,865,280,190.1600</x:v>
      </x:c>
      <x:c r="E76" s="13" t="str">
        <x:v>225,287,872,883.0500</x:v>
      </x:c>
      <x:c r="F76" s="13" t="str">
        <x:v>882,010,505.9700</x:v>
      </x:c>
      <x:c r="G76" s="13" t="str">
        <x:v>12,692,204,172.5800</x:v>
      </x:c>
      <x:c r="H76" s="13" t="str">
        <x:v>217,266,223,746.4700</x:v>
      </x:c>
      <x:c r="I76" s="13" t="str">
        <x:v>201,270,288,570.2100</x:v>
      </x:c>
      <x:c r="J76" s="13" t="str">
        <x:v>133,435,084,246.5700</x:v>
      </x:c>
      <x:c r="K76" s="13" t="str">
        <x:v>202,195,472,334.8800</x:v>
      </x:c>
      <x:c r="L76" s="13" t="str">
        <x:v>122,228,797,798.2500</x:v>
      </x:c>
      <x:c r="M76" s="13" t="str">
        <x:v>33,609,739,640.7100</x:v>
      </x:c>
      <x:c r="N76" s="13" t="str">
        <x:v>138,269,994,927.7700</x:v>
      </x:c>
      <x:c r="O76" s="13" t="str">
        <x:v>202,195,472,334.8800</x:v>
      </x:c>
      <x:c r="P76" s="13" t="str">
        <x:v>11,737,403,526.9400</x:v>
      </x:c>
      <x:c r="Q76" s="13" t="str">
        <x:v>民营企业</x:v>
      </x:c>
      <x:c r="R76" s="13" t="str">
        <x:v>可选消费--汽车与零配件--汽车--汽车制造</x:v>
      </x:c>
    </x:row>
    <x:row r="77">
      <x:c r="A77" s="13" t="str">
        <x:v>601877.SH</x:v>
      </x:c>
      <x:c r="B77" s="13" t="str">
        <x:v>正泰电器</x:v>
      </x:c>
      <x:c r="C77" s="13" t="str">
        <x:v>1,868,199,701.9100</x:v>
      </x:c>
      <x:c r="D77" s="13" t="str">
        <x:v>4,501,407,070.0800</x:v>
      </x:c>
      <x:c r="E77" s="13" t="str">
        <x:v>158,643,189,137.5400</x:v>
      </x:c>
      <x:c r="F77" s="13" t="str">
        <x:v>1,889,917,732.4000</x:v>
      </x:c>
      <x:c r="G77" s="13" t="str">
        <x:v>3,874,293,018.8000</x:v>
      </x:c>
      <x:c r="H77" s="13" t="str">
        <x:v>138,081,167,945.5400</x:v>
      </x:c>
      <x:c r="I77" s="13" t="str">
        <x:v>120,804,656,034.5900</x:v>
      </x:c>
      <x:c r="J77" s="13" t="str">
        <x:v>81,360,626,602.1900</x:v>
      </x:c>
      <x:c r="K77" s="13" t="str">
        <x:v>64,042,886,154.9700</x:v>
      </x:c>
      <x:c r="L77" s="13" t="str">
        <x:v>56,753,163,638.6800</x:v>
      </x:c>
      <x:c r="M77" s="13" t="str">
        <x:v>29,258,988,972.6800</x:v>
      </x:c>
      <x:c r="N77" s="13" t="str">
        <x:v>87,374,552,889.8200</x:v>
      </x:c>
      <x:c r="O77" s="13" t="str">
        <x:v>64,042,886,154.9700</x:v>
      </x:c>
      <x:c r="P77" s="13" t="str">
        <x:v>2,951,303,421.6100</x:v>
      </x:c>
      <x:c r="Q77" s="13" t="str">
        <x:v>民营企业</x:v>
      </x:c>
      <x:c r="R77" s="13" t="str">
        <x:v>工业--电气设备--电气设备Ⅲ--电气部件与设备</x:v>
      </x:c>
    </x:row>
    <x:row r="78">
      <x:c r="A78" s="13" t="str">
        <x:v>603195.SH</x:v>
      </x:c>
      <x:c r="B78" s="13" t="str">
        <x:v>公牛集团</x:v>
      </x:c>
      <x:c r="C78" s="13" t="str">
        <x:v>-96,686,209.0900</x:v>
      </x:c>
      <x:c r="D78" s="13" t="str">
        <x:v>4,070,632,747.7700</x:v>
      </x:c>
      <x:c r="E78" s="13" t="str">
        <x:v>22,556,242,542.6300</x:v>
      </x:c>
      <x:c r="F78" s="13" t="str">
        <x:v>-118,167,719.4300</x:v>
      </x:c>
      <x:c r="G78" s="13" t="str">
        <x:v>4,272,204,565.0300</x:v>
      </x:c>
      <x:c r="H78" s="13" t="str">
        <x:v>20,494,034,490.6800</x:v>
      </x:c>
      <x:c r="I78" s="13" t="str">
        <x:v>19,762,205,724.9300</x:v>
      </x:c>
      <x:c r="J78" s="13" t="str">
        <x:v>16,337,394,047.6300</x:v>
      </x:c>
      <x:c r="K78" s="13" t="str">
        <x:v>16,697,363,009.0600</x:v>
      </x:c>
      <x:c r="L78" s="13" t="str">
        <x:v>4,388,186,523.6100</x:v>
      </x:c>
      <x:c r="M78" s="13" t="str">
        <x:v>3,538,566,001.4500</x:v>
      </x:c>
      <x:c r="N78" s="13" t="str">
        <x:v>4,619,054,119.9200</x:v>
      </x:c>
      <x:c r="O78" s="13" t="str">
        <x:v>16,697,363,009.0600</x:v>
      </x:c>
      <x:c r="P78" s="13" t="str">
        <x:v>938,519,618.4300</x:v>
      </x:c>
      <x:c r="Q78" s="13" t="str">
        <x:v>民营企业</x:v>
      </x:c>
      <x:c r="R78" s="13" t="str">
        <x:v>工业--电气设备--电气设备Ⅲ--电气部件与设备</x:v>
      </x:c>
    </x:row>
    <x:row r="79">
      <x:c r="A79" s="13" t="str">
        <x:v>603259.SH</x:v>
      </x:c>
      <x:c r="B79" s="13" t="str">
        <x:v>药明康德</x:v>
      </x:c>
      <x:c r="C79" s="13" t="str">
        <x:v>306,492,000.0000</x:v>
      </x:c>
      <x:c r="D79" s="13" t="str">
        <x:v>19,194,927,000.0000</x:v>
      </x:c>
      <x:c r="E79" s="13" t="str">
        <x:v>103,120,969,000.0000</x:v>
      </x:c>
      <x:c r="F79" s="13" t="str">
        <x:v>268,565,000.0000</x:v>
      </x:c>
      <x:c r="G79" s="13" t="str">
        <x:v>9,352,608,000.0000</x:v>
      </x:c>
      <x:c r="H79" s="13" t="str">
        <x:v>80,325,824,000.0000</x:v>
      </x:c>
      <x:c r="I79" s="13" t="str">
        <x:v>73,669,349,000.0000</x:v>
      </x:c>
      <x:c r="J79" s="13" t="str">
        <x:v>38,690,152,000.0000</x:v>
      </x:c>
      <x:c r="K79" s="13" t="str">
        <x:v>39,241,431,000.0000</x:v>
      </x:c>
      <x:c r="L79" s="13" t="str">
        <x:v>16,226,115,000.0000</x:v>
      </x:c>
      <x:c r="M79" s="13" t="str">
        <x:v>25,267,837,000.0000</x:v>
      </x:c>
      <x:c r="N79" s="13" t="str">
        <x:v>21,240,211,000.0000</x:v>
      </x:c>
      <x:c r="O79" s="13" t="str">
        <x:v>39,241,431,000.0000</x:v>
      </x:c>
      <x:c r="P79" s="13" t="str">
        <x:v>4,003,493,000.0000</x:v>
      </x:c>
      <x:c r="Q79" s="13" t="str">
        <x:v>民营企业</x:v>
      </x:c>
      <x:c r="R79" s="13" t="str">
        <x:v>医疗保健--医药生物--生命科学工具和服务Ⅲ--生命科学工具和服务Ⅳ</x:v>
      </x:c>
    </x:row>
    <x:row r="80">
      <x:c r="A80" s="13" t="str">
        <x:v>603260.SH</x:v>
      </x:c>
      <x:c r="B80" s="13" t="str">
        <x:v>合盛硅业</x:v>
      </x:c>
      <x:c r="C80" s="13" t="str">
        <x:v>1,165,138,162.7300</x:v>
      </x:c>
      <x:c r="D80" s="13" t="str">
        <x:v>-2,990,853,048.2600</x:v>
      </x:c>
      <x:c r="E80" s="13" t="str">
        <x:v>83,606,668,256.6100</x:v>
      </x:c>
      <x:c r="F80" s="13" t="str">
        <x:v>891,684,693.1000</x:v>
      </x:c>
      <x:c r="G80" s="13" t="str">
        <x:v>1,740,476,559.5500</x:v>
      </x:c>
      <x:c r="H80" s="13" t="str">
        <x:v>90,773,438,669.8600</x:v>
      </x:c>
      <x:c r="I80" s="13" t="str">
        <x:v>83,344,046,933.9500</x:v>
      </x:c>
      <x:c r="J80" s="13" t="str">
        <x:v>13,546,103,760.9400</x:v>
      </x:c>
      <x:c r="K80" s="13" t="str">
        <x:v>26,188,634,721.0700</x:v>
      </x:c>
      <x:c r="L80" s="13" t="str">
        <x:v>37,927,525,030.0600</x:v>
      </x:c>
      <x:c r="M80" s="13" t="str">
        <x:v>68,508,769,167.2300</x:v>
      </x:c>
      <x:c r="N80" s="13" t="str">
        <x:v>57,943,898,736.4200</x:v>
      </x:c>
      <x:c r="O80" s="13" t="str">
        <x:v>26,188,634,721.0700</x:v>
      </x:c>
      <x:c r="P80" s="13" t="str">
        <x:v>5,608,976,992.5700</x:v>
      </x:c>
      <x:c r="Q80" s="13" t="str">
        <x:v>民营企业</x:v>
      </x:c>
      <x:c r="R80" s="13" t="str">
        <x:v>材料--化工--基础化工--商品化工</x:v>
      </x:c>
    </x:row>
    <x:row r="81">
      <x:c r="A81" s="13" t="str">
        <x:v>603288.SH</x:v>
      </x:c>
      <x:c r="B81" s="13" t="str">
        <x:v>海天味业</x:v>
      </x:c>
      <x:c r="C81" s="13" t="str">
        <x:v>25,520,000.0000</x:v>
      </x:c>
      <x:c r="D81" s="13" t="str">
        <x:v>7,038,465,000.0000</x:v>
      </x:c>
      <x:c r="E81" s="13" t="str">
        <x:v>52,183,944,000.0000</x:v>
      </x:c>
      <x:c r="F81" s="13" t="str">
        <x:v>23,961,000.0000</x:v>
      </x:c>
      <x:c r="G81" s="13" t="str">
        <x:v>6,344,126,000.0000</x:v>
      </x:c>
      <x:c r="H81" s="13" t="str">
        <x:v>40,858,435,000.0000</x:v>
      </x:c>
      <x:c r="I81" s="13" t="str">
        <x:v>38,423,517,000.0000</x:v>
      </x:c>
      <x:c r="J81" s="13" t="str">
        <x:v>32,842,109,000.0000</x:v>
      </x:c>
      <x:c r="K81" s="13" t="str">
        <x:v>26,900,978,000.0000</x:v>
      </x:c>
      <x:c r="L81" s="13" t="str">
        <x:v>8,985,791,000.0000</x:v>
      </x:c>
      <x:c r="M81" s="13" t="str">
        <x:v>5,685,335,000.0000</x:v>
      </x:c>
      <x:c r="N81" s="13" t="str">
        <x:v>9,456,491,000.0000</x:v>
      </x:c>
      <x:c r="O81" s="13" t="str">
        <x:v>26,900,978,000.0000</x:v>
      </x:c>
      <x:c r="P81" s="13" t="str">
        <x:v>1,575,700,000.0000</x:v>
      </x:c>
      <x:c r="Q81" s="13" t="str">
        <x:v>民营企业</x:v>
      </x:c>
      <x:c r="R81" s="13" t="str">
        <x:v>日常消费--食品饮料--食品--食品加工与肉类</x:v>
      </x:c>
    </x:row>
    <x:row r="82">
      <x:c r="A82" s="13" t="str">
        <x:v>603296.SH</x:v>
      </x:c>
      <x:c r="B82" s="13" t="str">
        <x:v>华勤技术</x:v>
      </x:c>
      <x:c r="C82" s="13" t="str">
        <x:v>308,359,000.0000</x:v>
      </x:c>
      <x:c r="D82" s="13" t="str">
        <x:v>4,081,338,000.0000</x:v>
      </x:c>
      <x:c r="E82" s="13" t="str">
        <x:v>96,205,628,000.0000</x:v>
      </x:c>
      <x:c r="F82" s="13" t="str">
        <x:v>244,092,000.0000</x:v>
      </x:c>
      <x:c r="G82" s="13" t="str">
        <x:v>2,928,940,000.0000</x:v>
      </x:c>
      <x:c r="H82" s="13" t="str">
        <x:v>76,296,823,000.0000</x:v>
      </x:c>
      <x:c r="I82" s="13" t="str">
        <x:v>51,509,636,000.0000</x:v>
      </x:c>
      <x:c r="J82" s="13" t="str">
        <x:v>56,221,556,000.0000</x:v>
      </x:c>
      <x:c r="K82" s="13" t="str">
        <x:v>109,877,987,000.0000</x:v>
      </x:c>
      <x:c r="L82" s="13" t="str">
        <x:v>49,668,933,000.0000</x:v>
      </x:c>
      <x:c r="M82" s="13" t="str">
        <x:v>9,654,042,000.0000</x:v>
      </x:c>
      <x:c r="N82" s="13" t="str">
        <x:v>53,372,763,000.0000</x:v>
      </x:c>
      <x:c r="O82" s="13" t="str">
        <x:v>109,877,987,000.0000</x:v>
      </x:c>
      <x:c r="P82" s="13" t="str">
        <x:v>2,066,928,000.0000</x:v>
      </x:c>
      <x:c r="Q82" s="13" t="str">
        <x:v>民营企业</x:v>
      </x:c>
      <x:c r="R82" s="13" t="str">
        <x:v>信息技术--硬件设备--电脑与外围设备--电脑硬件、储存设备及电脑周边</x:v>
      </x:c>
    </x:row>
    <x:row r="83">
      <x:c r="A83" s="13" t="str">
        <x:v>603392.SH</x:v>
      </x:c>
      <x:c r="B83" s="13" t="str">
        <x:v>万泰生物</x:v>
      </x:c>
      <x:c r="C83" s="13" t="str">
        <x:v>-11,369,740.7400</x:v>
      </x:c>
      <x:c r="D83" s="13" t="str">
        <x:v>-398,267,667.2700</x:v>
      </x:c>
      <x:c r="E83" s="13" t="str">
        <x:v>14,044,056,851.2900</x:v>
      </x:c>
      <x:c r="F83" s="13" t="str">
        <x:v>-58,067,911.7400</x:v>
      </x:c>
      <x:c r="G83" s="13" t="str">
        <x:v>106,235,425.6400</x:v>
      </x:c>
      <x:c r="H83" s="13" t="str">
        <x:v>14,689,396,309.4700</x:v>
      </x:c>
      <x:c r="I83" s="13" t="str">
        <x:v>15,714,997,884.5000</x:v>
      </x:c>
      <x:c r="J83" s="13" t="str">
        <x:v>8,374,875,235.8000</x:v>
      </x:c>
      <x:c r="K83" s="13" t="str">
        <x:v>2,222,303,008.7600</x:v>
      </x:c>
      <x:c r="L83" s="13" t="str">
        <x:v>2,012,071,700.2400</x:v>
      </x:c>
      <x:c r="M83" s="13" t="str">
        <x:v>3,416,989,497.1800</x:v>
      </x:c>
      <x:c r="N83" s="13" t="str">
        <x:v>2,241,436,443.7000</x:v>
      </x:c>
      <x:c r="O83" s="13" t="str">
        <x:v>2,222,303,008.7600</x:v>
      </x:c>
      <x:c r="P83" s="13" t="str">
        <x:v>887,349,661.6800</x:v>
      </x:c>
      <x:c r="Q83" s="13" t="str">
        <x:v>民营企业</x:v>
      </x:c>
      <x:c r="R83" s="13" t="str">
        <x:v>医疗保健--医药生物--生物科技Ⅲ--生物科技Ⅳ</x:v>
      </x:c>
    </x:row>
    <x:row r="84">
      <x:c r="A84" s="13" t="str">
        <x:v>603501.SH</x:v>
      </x:c>
      <x:c r="B84" s="13" t="str">
        <x:v>豪威集团</x:v>
      </x:c>
      <x:c r="C84" s="13" t="str">
        <x:v>302,467,921.8600</x:v>
      </x:c>
      <x:c r="D84" s="13" t="str">
        <x:v>4,045,416,530.3300</x:v>
      </x:c>
      <x:c r="E84" s="13" t="str">
        <x:v>43,600,508,995.6500</x:v>
      </x:c>
      <x:c r="F84" s="13" t="str">
        <x:v>326,701,000.0000</x:v>
      </x:c>
      <x:c r="G84" s="13" t="str">
        <x:v>3,317,582,000.0000</x:v>
      </x:c>
      <x:c r="H84" s="13" t="str">
        <x:v>38,964,574,000.0000</x:v>
      </x:c>
      <x:c r="I84" s="13" t="str">
        <x:v>37,743,164,000.0000</x:v>
      </x:c>
      <x:c r="J84" s="13" t="str">
        <x:v>21,804,221,000.0000</x:v>
      </x:c>
      <x:c r="K84" s="13" t="str">
        <x:v>25,706,819,000.0000</x:v>
      </x:c>
      <x:c r="L84" s="13" t="str">
        <x:v>7,595,428,000.0000</x:v>
      </x:c>
      <x:c r="M84" s="13" t="str">
        <x:v>3,527,482,000.0000</x:v>
      </x:c>
      <x:c r="N84" s="13" t="str">
        <x:v>14,762,184,000.0000</x:v>
      </x:c>
      <x:c r="O84" s="13" t="str">
        <x:v>25,706,819,000.0000</x:v>
      </x:c>
      <x:c r="P84" s="13" t="str">
        <x:v>1,248,619,000.0000</x:v>
      </x:c>
      <x:c r="Q84" s="13" t="str">
        <x:v>民营企业</x:v>
      </x:c>
      <x:c r="R84" s="13" t="str">
        <x:v>信息技术--半导体--半导体产品--集成电路</x:v>
      </x:c>
    </x:row>
    <x:row r="85">
      <x:c r="A85" s="13" t="str">
        <x:v>603799.SH</x:v>
      </x:c>
      <x:c r="B85" s="13" t="str">
        <x:v>华友钴业</x:v>
      </x:c>
      <x:c r="C85" s="13" t="str">
        <x:v>2,399,184,377.1400</x:v>
      </x:c>
      <x:c r="D85" s="13" t="str">
        <x:v>6,110,378,757.8400</x:v>
      </x:c>
      <x:c r="E85" s="13" t="str">
        <x:v>159,437,759,775.5000</x:v>
      </x:c>
      <x:c r="F85" s="13" t="str">
        <x:v>2,069,820,526.3700</x:v>
      </x:c>
      <x:c r="G85" s="13" t="str">
        <x:v>4,154,825,193.7500</x:v>
      </x:c>
      <x:c r="H85" s="13" t="str">
        <x:v>136,591,394,324.4400</x:v>
      </x:c>
      <x:c r="I85" s="13" t="str">
        <x:v>125,520,277,340.7800</x:v>
      </x:c>
      <x:c r="J85" s="13" t="str">
        <x:v>54,099,187,514.3400</x:v>
      </x:c>
      <x:c r="K85" s="13" t="str">
        <x:v>60,502,773,799.0400</x:v>
      </x:c>
      <x:c r="L85" s="13" t="str">
        <x:v>52,342,679,453.4400</x:v>
      </x:c>
      <x:c r="M85" s="13" t="str">
        <x:v>61,000,458,013.9000</x:v>
      </x:c>
      <x:c r="N85" s="13" t="str">
        <x:v>87,930,768,807.2900</x:v>
      </x:c>
      <x:c r="O85" s="13" t="str">
        <x:v>60,502,773,799.0400</x:v>
      </x:c>
      <x:c r="P85" s="13" t="str">
        <x:v>6,721,574,787.2200</x:v>
      </x:c>
      <x:c r="Q85" s="13" t="str">
        <x:v>民营企业</x:v>
      </x:c>
      <x:c r="R85" s="13" t="str">
        <x:v>材料--有色金属--其他金属与采矿--金属非金属</x:v>
      </x:c>
    </x:row>
    <x:row r="86">
      <x:c r="A86" s="13" t="str">
        <x:v>603893.SH</x:v>
      </x:c>
      <x:c r="B86" s="13" t="str">
        <x:v>瑞芯微</x:v>
      </x:c>
      <x:c r="C86" s="13" t="str">
        <x:v>-49,904,317.1500</x:v>
      </x:c>
      <x:c r="D86" s="13" t="str">
        <x:v>1,039,952,125.0000</x:v>
      </x:c>
      <x:c r="E86" s="13" t="str">
        <x:v>5,584,701,847.0400</x:v>
      </x:c>
      <x:c r="F86" s="13" t="str">
        <x:v>-60,739,794.4800</x:v>
      </x:c>
      <x:c r="G86" s="13" t="str">
        <x:v>594,862,210.2700</x:v>
      </x:c>
      <x:c r="H86" s="13" t="str">
        <x:v>4,265,988,219.9900</x:v>
      </x:c>
      <x:c r="I86" s="13" t="str">
        <x:v>3,507,219,550.7400</x:v>
      </x:c>
      <x:c r="J86" s="13" t="str">
        <x:v>3,618,988,782.7700</x:v>
      </x:c>
      <x:c r="K86" s="13" t="str">
        <x:v>3,124,647,739.0600</x:v>
      </x:c>
      <x:c r="L86" s="13" t="str">
        <x:v>664,194,859.5300</x:v>
      </x:c>
      <x:c r="M86" s="13" t="str">
        <x:v>37,001,324.9300</x:v>
      </x:c>
      <x:c r="N86" s="13" t="str">
        <x:v>720,103,928.0800</x:v>
      </x:c>
      <x:c r="O86" s="13" t="str">
        <x:v>3,124,647,739.0600</x:v>
      </x:c>
      <x:c r="P86" s="13" t="str">
        <x:v>124,807,544.2400</x:v>
      </x:c>
      <x:c r="Q86" s="13" t="str">
        <x:v>民营企业</x:v>
      </x:c>
      <x:c r="R86" s="13" t="str">
        <x:v>信息技术--半导体--半导体产品--集成电路</x:v>
      </x:c>
    </x:row>
    <x:row r="87">
      <x:c r="A87" s="13" t="str">
        <x:v>603986.SH</x:v>
      </x:c>
      <x:c r="B87" s="13" t="str">
        <x:v>兆易创新</x:v>
      </x:c>
      <x:c r="C87" s="13" t="str">
        <x:v>22,132,000.0000</x:v>
      </x:c>
      <x:c r="D87" s="13" t="str">
        <x:v>1,648,022,000.0000</x:v>
      </x:c>
      <x:c r="E87" s="13" t="str">
        <x:v>21,396,582,000.0000</x:v>
      </x:c>
      <x:c r="F87" s="13" t="str">
        <x:v>19,253,000.0000</x:v>
      </x:c>
      <x:c r="G87" s="13" t="str">
        <x:v>1,102,543,000.0000</x:v>
      </x:c>
      <x:c r="H87" s="13" t="str">
        <x:v>19,228,830,000.0000</x:v>
      </x:c>
      <x:c r="I87" s="13" t="str">
        <x:v>16,455,780,000.0000</x:v>
      </x:c>
      <x:c r="J87" s="13" t="str">
        <x:v>12,434,797,000.0000</x:v>
      </x:c>
      <x:c r="K87" s="13" t="str">
        <x:v>7,355,978,000.0000</x:v>
      </x:c>
      <x:c r="L87" s="13" t="str">
        <x:v>2,330,507,000.0000</x:v>
      </x:c>
      <x:c r="M87" s="13" t="str">
        <x:v>1,089,489,000.0000</x:v>
      </x:c>
      <x:c r="N87" s="13" t="str">
        <x:v>2,550,053,000.0000</x:v>
      </x:c>
      <x:c r="O87" s="13" t="str">
        <x:v>7,355,978,000.0000</x:v>
      </x:c>
      <x:c r="P87" s="13" t="str">
        <x:v>499,018,000.0000</x:v>
      </x:c>
      <x:c r="Q87" s="13" t="str">
        <x:v>民营企业</x:v>
      </x:c>
      <x:c r="R87" s="13" t="str">
        <x:v>信息技术--半导体--半导体产品--集成电路</x:v>
      </x:c>
    </x:row>
    <x:row r="88">
      <x:c r="A88" s="13" t="str">
        <x:v>603993.SH</x:v>
      </x:c>
      <x:c r="B88" s="13" t="str">
        <x:v>洛阳钼业</x:v>
      </x:c>
      <x:c r="C88" s="13" t="str">
        <x:v>2,630,714,020.6400</x:v>
      </x:c>
      <x:c r="D88" s="13" t="str">
        <x:v>20,338,750,797.5300</x:v>
      </x:c>
      <x:c r="E88" s="13" t="str">
        <x:v>200,932,364,610.9900</x:v>
      </x:c>
      <x:c r="F88" s="13" t="str">
        <x:v>4,043,301,643.4700</x:v>
      </x:c>
      <x:c r="G88" s="13" t="str">
        <x:v>13,532,035,002.9400</x:v>
      </x:c>
      <x:c r="H88" s="13" t="str">
        <x:v>170,236,431,691.8200</x:v>
      </x:c>
      <x:c r="I88" s="13" t="str">
        <x:v>172,974,530,702.6100</x:v>
      </x:c>
      <x:c r="J88" s="13" t="str">
        <x:v>79,174,392,805.2300</x:v>
      </x:c>
      <x:c r="K88" s="13" t="str">
        <x:v>213,028,664,834.7900</x:v>
      </x:c>
      <x:c r="L88" s="13" t="str">
        <x:v>45,460,596,967.0200</x:v>
      </x:c>
      <x:c r="M88" s="13" t="str">
        <x:v>48,476,813,084.4600</x:v>
      </x:c>
      <x:c r="N88" s="13" t="str">
        <x:v>84,294,195,547.0500</x:v>
      </x:c>
      <x:c r="O88" s="13" t="str">
        <x:v>213,028,664,834.7900</x:v>
      </x:c>
      <x:c r="P88" s="13" t="str">
        <x:v>4,901,319,114.8200</x:v>
      </x:c>
      <x:c r="Q88" s="13" t="str">
        <x:v>民营企业</x:v>
      </x:c>
      <x:c r="R88" s="13" t="str">
        <x:v>材料--有色金属--其他金属与采矿--金属非金属</x:v>
      </x:c>
    </x:row>
    <x:row r="89">
      <x:c r="A89" s="13" t="str">
        <x:v>605117.SH</x:v>
      </x:c>
      <x:c r="B89" s="13" t="str">
        <x:v>德业股份</x:v>
      </x:c>
      <x:c r="C89" s="13" t="str">
        <x:v>-129,277,566.9600</x:v>
      </x:c>
      <x:c r="D89" s="13" t="str">
        <x:v>3,170,769,705.4200</x:v>
      </x:c>
      <x:c r="E89" s="13" t="str">
        <x:v>19,906,773,218.3900</x:v>
      </x:c>
      <x:c r="F89" s="13" t="str">
        <x:v>43,579,000.0000</x:v>
      </x:c>
      <x:c r="G89" s="13" t="str">
        <x:v>2,960,347,000.0000</x:v>
      </x:c>
      <x:c r="H89" s="13" t="str">
        <x:v>15,114,421,000.0000</x:v>
      </x:c>
      <x:c r="I89" s="13" t="str">
        <x:v>10,817,385,000.0000</x:v>
      </x:c>
      <x:c r="J89" s="13" t="str">
        <x:v>10,814,777,000.0000</x:v>
      </x:c>
      <x:c r="K89" s="13" t="str">
        <x:v>11,206,468,000.0000</x:v>
      </x:c>
      <x:c r="L89" s="13" t="str">
        <x:v>5,510,273,000.0000</x:v>
      </x:c>
      <x:c r="M89" s="13" t="str">
        <x:v>2,413,247,000.0000</x:v>
      </x:c>
      <x:c r="N89" s="13" t="str">
        <x:v>5,659,705,000.0000</x:v>
      </x:c>
      <x:c r="O89" s="13" t="str">
        <x:v>11,206,468,000.0000</x:v>
      </x:c>
      <x:c r="P89" s="13" t="str">
        <x:v>462,415,000.0000</x:v>
      </x:c>
      <x:c r="Q89" s="13" t="str">
        <x:v>民营企业</x:v>
      </x:c>
      <x:c r="R89" s="13" t="str">
        <x:v>工业--电气设备--电气设备Ⅲ--光伏设备</x:v>
      </x:c>
    </x:row>
    <x:row r="90">
      <x:c r="A90" s="13" t="str">
        <x:v>605499.SH</x:v>
      </x:c>
      <x:c r="B90" s="13" t="str">
        <x:v>东鹏饮料</x:v>
      </x:c>
      <x:c r="C90" s="13" t="str">
        <x:v>101,132,000.0000</x:v>
      </x:c>
      <x:c r="D90" s="13" t="str">
        <x:v>4,415,263,000.0000</x:v>
      </x:c>
      <x:c r="E90" s="13" t="str">
        <x:v>26,720,736,000.0000</x:v>
      </x:c>
      <x:c r="F90" s="13" t="str">
        <x:v>102,876,000.0000</x:v>
      </x:c>
      <x:c r="G90" s="13" t="str">
        <x:v>3,326,710,000.0000</x:v>
      </x:c>
      <x:c r="H90" s="13" t="str">
        <x:v>22,676,297,000.0000</x:v>
      </x:c>
      <x:c r="I90" s="13" t="str">
        <x:v>14,710,050,000.0000</x:v>
      </x:c>
      <x:c r="J90" s="13" t="str">
        <x:v>12,705,625,000.0000</x:v>
      </x:c>
      <x:c r="K90" s="13" t="str">
        <x:v>15,830,336,000.0000</x:v>
      </x:c>
      <x:c r="L90" s="13" t="str">
        <x:v>14,845,042,000.0000</x:v>
      </x:c>
      <x:c r="M90" s="13" t="str">
        <x:v>4,279,051,000.0000</x:v>
      </x:c>
      <x:c r="N90" s="13" t="str">
        <x:v>14,984,716,000.0000</x:v>
      </x:c>
      <x:c r="O90" s="13" t="str">
        <x:v>15,830,336,000.0000</x:v>
      </x:c>
      <x:c r="P90" s="13" t="str">
        <x:v>1,324,489,000.0000</x:v>
      </x:c>
      <x:c r="Q90" s="13" t="str">
        <x:v>民营企业</x:v>
      </x:c>
      <x:c r="R90" s="13" t="str">
        <x:v>日常消费--食品饮料--饮料--软饮料</x:v>
      </x:c>
    </x:row>
    <x:row r="91">
      <x:c r="A91" s="13" t="str">
        <x:v>688036.SH</x:v>
      </x:c>
      <x:c r="B91" s="13" t="str">
        <x:v>传音控股</x:v>
      </x:c>
      <x:c r="C91" s="13" t="str">
        <x:v>133,243,916.0800</x:v>
      </x:c>
      <x:c r="D91" s="13" t="str">
        <x:v>2,580,636,983.0000</x:v>
      </x:c>
      <x:c r="E91" s="13" t="str">
        <x:v>44,382,261,831.5500</x:v>
      </x:c>
      <x:c r="F91" s="13" t="str">
        <x:v>81,966,000.0000</x:v>
      </x:c>
      <x:c r="G91" s="13" t="str">
        <x:v>5,548,950,000.0000</x:v>
      </x:c>
      <x:c r="H91" s="13" t="str">
        <x:v>45,062,400,000.0000</x:v>
      </x:c>
      <x:c r="I91" s="13" t="str">
        <x:v>46,121,001,000.0000</x:v>
      </x:c>
      <x:c r="J91" s="13" t="str">
        <x:v>38,809,119,000.0000</x:v>
      </x:c>
      <x:c r="K91" s="13" t="str">
        <x:v>68,715,279,000.0000</x:v>
      </x:c>
      <x:c r="L91" s="13" t="str">
        <x:v>23,985,382,000.0000</x:v>
      </x:c>
      <x:c r="M91" s="13" t="str">
        <x:v>2,792,055,000.0000</x:v>
      </x:c>
      <x:c r="N91" s="13" t="str">
        <x:v>24,716,864,000.0000</x:v>
      </x:c>
      <x:c r="O91" s="13" t="str">
        <x:v>68,715,279,000.0000</x:v>
      </x:c>
      <x:c r="P91" s="13" t="str"/>
      <x:c r="Q91" s="13" t="str">
        <x:v>民营企业</x:v>
      </x:c>
      <x:c r="R91" s="13" t="str">
        <x:v>信息技术--硬件设备--通信设备Ⅲ--通信设备Ⅳ</x:v>
      </x:c>
    </x:row>
    <x:row r="92">
      <x:c r="A92" s="13" t="str">
        <x:v>688047.SH</x:v>
      </x:c>
      <x:c r="B92" s="13" t="str">
        <x:v>龙芯中科</x:v>
      </x:c>
      <x:c r="C92" s="13" t="str">
        <x:v>-1,502,303.2700</x:v>
      </x:c>
      <x:c r="D92" s="13" t="str">
        <x:v>-455,140,256.1700</x:v>
      </x:c>
      <x:c r="E92" s="13" t="str">
        <x:v>3,161,870,916.4300</x:v>
      </x:c>
      <x:c r="F92" s="13" t="str">
        <x:v>-5,553,627.1800</x:v>
      </x:c>
      <x:c r="G92" s="13" t="str">
        <x:v>-625,347,147.3200</x:v>
      </x:c>
      <x:c r="H92" s="13" t="str">
        <x:v>3,497,483,392.2000</x:v>
      </x:c>
      <x:c r="I92" s="13" t="str">
        <x:v>4,112,088,980.6400</x:v>
      </x:c>
      <x:c r="J92" s="13" t="str">
        <x:v>2,601,184,867.1700</x:v>
      </x:c>
      <x:c r="K92" s="13" t="str">
        <x:v>501,918,584.8000</x:v>
      </x:c>
      <x:c r="L92" s="13" t="str">
        <x:v>385,356,001.1700</x:v>
      </x:c>
      <x:c r="M92" s="13" t="str">
        <x:v>305,108,290.5700</x:v>
      </x:c>
      <x:c r="N92" s="13" t="str">
        <x:v>561,086,316.9900</x:v>
      </x:c>
      <x:c r="O92" s="13" t="str">
        <x:v>501,918,584.8000</x:v>
      </x:c>
      <x:c r="P92" s="13" t="str">
        <x:v>71,634,807.1000</x:v>
      </x:c>
      <x:c r="Q92" s="13" t="str">
        <x:v>民营企业</x:v>
      </x:c>
      <x:c r="R92" s="13" t="str">
        <x:v>信息技术--半导体--半导体产品--集成电路</x:v>
      </x:c>
    </x:row>
    <x:row r="93">
      <x:c r="A93" s="13" t="str">
        <x:v>688111.SH</x:v>
      </x:c>
      <x:c r="B93" s="13" t="str">
        <x:v>金山办公</x:v>
      </x:c>
      <x:c r="C93" s="13" t="str">
        <x:v>488,890.7400</x:v>
      </x:c>
      <x:c r="D93" s="13" t="str">
        <x:v>1,836,468,727.8100</x:v>
      </x:c>
      <x:c r="E93" s="13" t="str">
        <x:v>18,155,801,690.1400</x:v>
      </x:c>
      <x:c r="F93" s="13" t="str">
        <x:v>-15,812,274.9300</x:v>
      </x:c>
      <x:c r="G93" s="13" t="str">
        <x:v>1,645,080,509.0200</x:v>
      </x:c>
      <x:c r="H93" s="13" t="str">
        <x:v>15,912,888,756.2300</x:v>
      </x:c>
      <x:c r="I93" s="13" t="str">
        <x:v>13,974,021,307.9500</x:v>
      </x:c>
      <x:c r="J93" s="13" t="str">
        <x:v>6,104,701,854.8600</x:v>
      </x:c>
      <x:c r="K93" s="13" t="str">
        <x:v>5,071,668,434.0000</x:v>
      </x:c>
      <x:c r="L93" s="13" t="str">
        <x:v>3,462,333,138.5000</x:v>
      </x:c>
      <x:c r="M93" s="13" t="str">
        <x:v>431,610,661.9700</x:v>
      </x:c>
      <x:c r="N93" s="13" t="str">
        <x:v>4,476,319,129.6900</x:v>
      </x:c>
      <x:c r="O93" s="13" t="str">
        <x:v>5,071,668,434.0000</x:v>
      </x:c>
      <x:c r="P93" s="13" t="str">
        <x:v>174,991,782.0700</x:v>
      </x:c>
      <x:c r="Q93" s="13" t="str">
        <x:v>民营企业</x:v>
      </x:c>
      <x:c r="R93" s="13" t="str">
        <x:v>信息技术--软件服务--软件--应用软件</x:v>
      </x:c>
    </x:row>
    <x:row r="94">
      <x:c r="A94" s="13" t="str">
        <x:v>688169.SH</x:v>
      </x:c>
      <x:c r="B94" s="13" t="str">
        <x:v>石头科技</x:v>
      </x:c>
      <x:c r="C94" s="13" t="str">
        <x:v>-152,791,423.0000</x:v>
      </x:c>
      <x:c r="D94" s="13" t="str">
        <x:v>1,363,322,277.0000</x:v>
      </x:c>
      <x:c r="E94" s="13" t="str">
        <x:v>19,669,397,566.0000</x:v>
      </x:c>
      <x:c r="F94" s="13" t="str">
        <x:v>10,323,000.0000</x:v>
      </x:c>
      <x:c r="G94" s="13" t="str">
        <x:v>1,976,563,000.0000</x:v>
      </x:c>
      <x:c r="H94" s="13" t="str">
        <x:v>17,484,730,000.0000</x:v>
      </x:c>
      <x:c r="I94" s="13" t="str">
        <x:v>14,376,642,000.0000</x:v>
      </x:c>
      <x:c r="J94" s="13" t="str">
        <x:v>11,752,453,000.0000</x:v>
      </x:c>
      <x:c r="K94" s="13" t="str">
        <x:v>11,918,473,000.0000</x:v>
      </x:c>
      <x:c r="L94" s="13" t="str">
        <x:v>4,427,367,000.0000</x:v>
      </x:c>
      <x:c r="M94" s="13" t="str">
        <x:v>1,397,852,000.0000</x:v>
      </x:c>
      <x:c r="N94" s="13" t="str">
        <x:v>4,614,546,000.0000</x:v>
      </x:c>
      <x:c r="O94" s="13" t="str">
        <x:v>11,918,473,000.0000</x:v>
      </x:c>
      <x:c r="P94" s="13" t="str">
        <x:v>292,545,000.0000</x:v>
      </x:c>
      <x:c r="Q94" s="13" t="str">
        <x:v>民营企业</x:v>
      </x:c>
      <x:c r="R94" s="13" t="str">
        <x:v>可选消费--家电Ⅱ--家电Ⅲ--家用电器</x:v>
      </x:c>
    </x:row>
    <x:row r="95">
      <x:c r="A95" s="13" t="str">
        <x:v>688223.SH</x:v>
      </x:c>
      <x:c r="B95" s="13" t="str">
        <x:v>晶科能源</x:v>
      </x:c>
      <x:c r="C95" s="13" t="str">
        <x:v>1,370,318,563.8500</x:v>
      </x:c>
      <x:c r="D95" s="13" t="str">
        <x:v>-6,881,512,301.1200</x:v>
      </x:c>
      <x:c r="E95" s="13" t="str">
        <x:v>117,962,654,800.0300</x:v>
      </x:c>
      <x:c r="F95" s="13" t="str">
        <x:v>654,704,290.4600</x:v>
      </x:c>
      <x:c r="G95" s="13" t="str">
        <x:v>98,927,562.1800</x:v>
      </x:c>
      <x:c r="H95" s="13" t="str">
        <x:v>121,109,877,893.3800</x:v>
      </x:c>
      <x:c r="I95" s="13" t="str">
        <x:v>132,116,541,807.0700</x:v>
      </x:c>
      <x:c r="J95" s="13" t="str">
        <x:v>68,790,452,676.9300</x:v>
      </x:c>
      <x:c r="K95" s="13" t="str">
        <x:v>92,045,573,706.0100</x:v>
      </x:c>
      <x:c r="L95" s="13" t="str">
        <x:v>50,089,550,175.2800</x:v>
      </x:c>
      <x:c r="M95" s="13" t="str">
        <x:v>44,470,422,332.1400</x:v>
      </x:c>
      <x:c r="N95" s="13" t="str">
        <x:v>87,188,831,757.1300</x:v>
      </x:c>
      <x:c r="O95" s="13" t="str">
        <x:v>92,045,573,706.0100</x:v>
      </x:c>
      <x:c r="P95" s="13" t="str">
        <x:v>9,185,144,471.0500</x:v>
      </x:c>
      <x:c r="Q95" s="13" t="str">
        <x:v>民营企业</x:v>
      </x:c>
      <x:c r="R95" s="13" t="str">
        <x:v>工业--电气设备--电气设备Ⅲ--光伏设备</x:v>
      </x:c>
    </x:row>
    <x:row r="96">
      <x:c r="A96" s="13" t="str">
        <x:v>688256.SH</x:v>
      </x:c>
      <x:c r="B96" s="13" t="str">
        <x:v>寒武纪</x:v>
      </x:c>
      <x:c r="C96" s="13" t="str">
        <x:v>10,961,179.6600</x:v>
      </x:c>
      <x:c r="D96" s="13" t="str">
        <x:v>2,059,228,538.6700</x:v>
      </x:c>
      <x:c r="E96" s="13" t="str">
        <x:v>13,437,714,065.9100</x:v>
      </x:c>
      <x:c r="F96" s="13" t="str">
        <x:v>-19,318,560.1000</x:v>
      </x:c>
      <x:c r="G96" s="13" t="str">
        <x:v>-452,338,791.0100</x:v>
      </x:c>
      <x:c r="H96" s="13" t="str">
        <x:v>6,717,812,509.7000</x:v>
      </x:c>
      <x:c r="I96" s="13" t="str">
        <x:v>6,418,036,122.3300</x:v>
      </x:c>
      <x:c r="J96" s="13" t="str">
        <x:v>5,800,316,619.4400</x:v>
      </x:c>
      <x:c r="K96" s="13" t="str">
        <x:v>1,171,492,948.5200</x:v>
      </x:c>
      <x:c r="L96" s="13" t="str">
        <x:v>818,135,979.3800</x:v>
      </x:c>
      <x:c r="M96" s="13" t="str">
        <x:v>381,652,707.3400</x:v>
      </x:c>
      <x:c r="N96" s="13" t="str">
        <x:v>1,287,332,938.0500</x:v>
      </x:c>
      <x:c r="O96" s="13" t="str">
        <x:v>1,171,492,948.5200</x:v>
      </x:c>
      <x:c r="P96" s="13" t="str">
        <x:v>366,049,335.2200</x:v>
      </x:c>
      <x:c r="Q96" s="13" t="str">
        <x:v>民营企业</x:v>
      </x:c>
      <x:c r="R96" s="13" t="str">
        <x:v>信息技术--半导体--半导体产品--集成电路</x:v>
      </x:c>
    </x:row>
    <x:row r="97">
      <x:c r="A97" s="13" t="str">
        <x:v>688271.SH</x:v>
      </x:c>
      <x:c r="B97" s="13" t="str">
        <x:v>联影医疗</x:v>
      </x:c>
      <x:c r="C97" s="13" t="str">
        <x:v>-30,626,038.5800</x:v>
      </x:c>
      <x:c r="D97" s="13" t="str">
        <x:v>1,869,300,805.6500</x:v>
      </x:c>
      <x:c r="E97" s="13" t="str">
        <x:v>32,784,579,366.0100</x:v>
      </x:c>
      <x:c r="F97" s="13" t="str">
        <x:v>-112,290,178.6700</x:v>
      </x:c>
      <x:c r="G97" s="13" t="str">
        <x:v>1,261,869,451.2700</x:v>
      </x:c>
      <x:c r="H97" s="13" t="str">
        <x:v>28,035,688,872.4800</x:v>
      </x:c>
      <x:c r="I97" s="13" t="str">
        <x:v>25,336,140,321.9600</x:v>
      </x:c>
      <x:c r="J97" s="13" t="str">
        <x:v>20,893,841,318.4600</x:v>
      </x:c>
      <x:c r="K97" s="13" t="str">
        <x:v>10,243,323,210.9400</x:v>
      </x:c>
      <x:c r="L97" s="13" t="str">
        <x:v>7,075,747,152.0600</x:v>
      </x:c>
      <x:c r="M97" s="13" t="str">
        <x:v>4,714,107,765.2400</x:v>
      </x:c>
      <x:c r="N97" s="13" t="str">
        <x:v>8,129,447,799.8100</x:v>
      </x:c>
      <x:c r="O97" s="13" t="str">
        <x:v>10,243,323,210.9400</x:v>
      </x:c>
      <x:c r="P97" s="13" t="str">
        <x:v>1,945,732,817.3000</x:v>
      </x:c>
      <x:c r="Q97" s="13" t="str">
        <x:v>民营企业</x:v>
      </x:c>
      <x:c r="R97" s="13" t="str">
        <x:v>医疗保健--医疗设备与服务--医疗保健设备与用品--医疗保健设备</x:v>
      </x:c>
    </x:row>
    <x:row r="98">
      <x:c r="A98" s="13" t="str">
        <x:v>688303.SH</x:v>
      </x:c>
      <x:c r="B98" s="13" t="str">
        <x:v>大全能源</x:v>
      </x:c>
      <x:c r="C98" s="13" t="str">
        <x:v>19,346,696.5700</x:v>
      </x:c>
      <x:c r="D98" s="13" t="str">
        <x:v>-1,129,167,857.6700</x:v>
      </x:c>
      <x:c r="E98" s="13" t="str">
        <x:v>42,704,100,006.6100</x:v>
      </x:c>
      <x:c r="F98" s="13" t="str">
        <x:v>-143,143,245.2100</x:v>
      </x:c>
      <x:c r="G98" s="13" t="str">
        <x:v>-2,718,132,395.8100</x:v>
      </x:c>
      <x:c r="H98" s="13" t="str">
        <x:v>44,200,249,316.2000</x:v>
      </x:c>
      <x:c r="I98" s="13" t="str">
        <x:v>50,695,054,524.7900</x:v>
      </x:c>
      <x:c r="J98" s="13" t="str">
        <x:v>16,566,412,684.2100</x:v>
      </x:c>
      <x:c r="K98" s="13" t="str">
        <x:v>7,342,305,450.5100</x:v>
      </x:c>
      <x:c r="L98" s="13" t="str">
        <x:v>3,760,771,652.7700</x:v>
      </x:c>
      <x:c r="M98" s="13" t="str">
        <x:v>25,395,892,385.3300</x:v>
      </x:c>
      <x:c r="N98" s="13" t="str">
        <x:v>4,042,508,028.8800</x:v>
      </x:c>
      <x:c r="O98" s="13" t="str">
        <x:v>7,342,305,450.5100</x:v>
      </x:c>
      <x:c r="P98" s="13" t="str">
        <x:v>527,204,925.6600</x:v>
      </x:c>
      <x:c r="Q98" s="13" t="str">
        <x:v>民营企业</x:v>
      </x:c>
      <x:c r="R98" s="13" t="str">
        <x:v>工业--电气设备--电气设备Ⅲ--光伏设备</x:v>
      </x:c>
    </x:row>
    <x:row r="99">
      <x:c r="A99" s="13" t="str">
        <x:v>688506.SH</x:v>
      </x:c>
      <x:c r="B99" s="13" t="str">
        <x:v>百利天恒</x:v>
      </x:c>
      <x:c r="C99" s="13" t="str">
        <x:v>-42,777,542.9600</x:v>
      </x:c>
      <x:c r="D99" s="13" t="str">
        <x:v>-1,053,617,853.7700</x:v>
      </x:c>
      <x:c r="E99" s="13" t="str">
        <x:v>11,447,802,237.4000</x:v>
      </x:c>
      <x:c r="F99" s="13" t="str">
        <x:v>42,523,000.0000</x:v>
      </x:c>
      <x:c r="G99" s="13" t="str">
        <x:v>3,707,505,000.0000</x:v>
      </x:c>
      <x:c r="H99" s="13" t="str">
        <x:v>7,137,359,000.0000</x:v>
      </x:c>
      <x:c r="I99" s="13" t="str">
        <x:v>1,425,099,000.0000</x:v>
      </x:c>
      <x:c r="J99" s="13" t="str">
        <x:v>6,307,206,000.0000</x:v>
      </x:c>
      <x:c r="K99" s="13" t="str">
        <x:v>5,821,050,000.0000</x:v>
      </x:c>
      <x:c r="L99" s="13" t="str">
        <x:v>1,994,656,000.0000</x:v>
      </x:c>
      <x:c r="M99" s="13" t="str">
        <x:v>550,466,000.0000</x:v>
      </x:c>
      <x:c r="N99" s="13" t="str">
        <x:v>3,251,434,000.0000</x:v>
      </x:c>
      <x:c r="O99" s="13" t="str">
        <x:v>5,821,050,000.0000</x:v>
      </x:c>
      <x:c r="P99" s="13" t="str">
        <x:v>83,879,000.0000</x:v>
      </x:c>
      <x:c r="Q99" s="13" t="str">
        <x:v>民营企业</x:v>
      </x:c>
      <x:c r="R99" s="13" t="str">
        <x:v>医疗保健--医药生物--制药--西药</x:v>
      </x:c>
    </x:row>
  </x:sheetData>
  <x:pageMargins left="0.7" right="0.7" top="0.75" bottom="0.75" header="0.3" footer="0.3"/>
  <x:tableParts count="1">
    <x:tablePart xmlns:r="http://schemas.openxmlformats.org/officeDocument/2006/relationships" r:id="R472e079526974b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3.729999542236328" hidden="0" customWidth="1"/>
    <x:col min="4" max="4" width="42" hidden="0" customWidth="1"/>
    <x:col min="5" max="5" width="18" hidden="0" customWidth="1"/>
    <x:col min="6" max="6" width="12.789999961853027" hidden="0" customWidth="1"/>
    <x:col min="7" max="7" width="14.800000190734863" hidden="0" customWidth="1"/>
    <x:col min="8" max="8" width="12.789999961853027" hidden="0" customWidth="1"/>
    <x:col min="9" max="9" width="12.789999961853027" hidden="0" customWidth="1"/>
    <x:col min="10" max="10" width="14.800000190734863" hidden="0" customWidth="1"/>
    <x:col min="11" max="11" width="12.789999961853027" hidden="0" customWidth="1"/>
    <x:col min="12" max="12" width="12.789999961853027" hidden="0" customWidth="1"/>
    <x:col min="13" max="13" width="12.789999961853027" hidden="0" customWidth="1"/>
    <x:col min="14" max="14" width="12.789999961853027" hidden="0" customWidth="1"/>
    <x:col min="15" max="15" width="12.789999961853027" hidden="0" customWidth="1"/>
    <x:col min="16" max="16" width="16.690000534057617" hidden="0" customWidth="1"/>
    <x:col min="17" max="17" width="12.789999961853027" hidden="0" customWidth="1"/>
    <x:col min="18" max="18" width="14.800000190734863" hidden="0" customWidth="1"/>
    <x:col min="19" max="19" width="11.039999961853027" hidden="0" customWidth="1"/>
    <x:col min="20" max="20" width="11.710000038146973" hidden="0" customWidth="1"/>
    <x:col min="21" max="21" width="24.360000610351562" hidden="0" customWidth="1"/>
    <x:col min="22" max="22" width="21.399999618530273" hidden="0" customWidth="1"/>
    <x:col min="23" max="23" width="16.81999969482422" hidden="0" customWidth="1"/>
    <x:col min="24" max="24" width="16.690000534057617" hidden="0" customWidth="1"/>
    <x:col min="25" max="25" width="21.799999237060547" hidden="0" customWidth="1"/>
    <x:col min="26" max="26" width="18.709999084472656" hidden="0" customWidth="1"/>
    <x:col min="27" max="27" width="19.3799991607666" hidden="0" customWidth="1"/>
    <x:col min="28" max="28" width="15.34000015258789" hidden="0" customWidth="1"/>
    <x:col min="29" max="29" width="14.130000114440918" hidden="0" customWidth="1"/>
  </x:cols>
  <x:sheetData>
    <x:row r="1">
      <x:c r="A1" s="12" t="str">
        <x:v>证券代码</x:v>
      </x:c>
      <x:c r="B1" s="12" t="str">
        <x:v>证券简称</x:v>
      </x:c>
      <x:c r="C1" s="12" t="str">
        <x:v>企业所有制性质</x:v>
      </x:c>
      <x:c r="D1" s="12" t="str">
        <x:v>行业全路径</x:v>
      </x:c>
      <x:c r="E1" s="12" t="str">
        <x:v>二级行业</x:v>
      </x:c>
      <x:c r="F1" s="28" t="str">
        <x:v>利息支出_2025</x:v>
      </x:c>
      <x:c r="G1" s="28" t="str">
        <x:v>归母净利润_2025</x:v>
      </x:c>
      <x:c r="H1" s="28" t="str">
        <x:v>资产总计_2025</x:v>
      </x:c>
      <x:c r="I1" s="28" t="str">
        <x:v>利息支出_2024</x:v>
      </x:c>
      <x:c r="J1" s="28" t="str">
        <x:v>归母净利润_2024</x:v>
      </x:c>
      <x:c r="K1" s="28" t="str">
        <x:v>资产总计_2024</x:v>
      </x:c>
      <x:c r="L1" s="28" t="str">
        <x:v>资产总计_2023</x:v>
      </x:c>
      <x:c r="M1" s="28" t="str">
        <x:v>流动资产_2024</x:v>
      </x:c>
      <x:c r="N1" s="28" t="str">
        <x:v>营业收入_2024</x:v>
      </x:c>
      <x:c r="O1" s="28" t="str">
        <x:v>流动负债_2024</x:v>
      </x:c>
      <x:c r="P1" s="28" t="str">
        <x:v>固定资产净值_2024</x:v>
      </x:c>
      <x:c r="Q1" s="28" t="str">
        <x:v>负债合计_2024</x:v>
      </x:c>
      <x:c r="R1" s="28" t="str">
        <x:v>资本性支出_2024</x:v>
      </x:c>
      <x:c r="S1" s="30" t="str">
        <x:v>EBI/A_2025</x:v>
      </x:c>
      <x:c r="T1" s="30" t="str">
        <x:v>FirmSize_2024</x:v>
      </x:c>
      <x:c r="U1" s="30" t="str">
        <x:v>MarketShare_2024_二级行业</x:v>
      </x:c>
      <x:c r="V1" s="30" t="str">
        <x:v>MarketShare平方_辅助列</x:v>
      </x:c>
      <x:c r="W1" s="30" t="str">
        <x:v>HHI_2024_二级行业</x:v>
      </x:c>
      <x:c r="X1" s="30" t="str">
        <x:v>AssetTurnover_2024</x:v>
      </x:c>
      <x:c r="Y1" s="30" t="str">
        <x:v>WorkingCapitalRatio_2024</x:v>
      </x:c>
      <x:c r="Z1" s="30" t="str">
        <x:v>FixedAssetsRatio_2024</x:v>
      </x:c>
      <x:c r="AA1" s="30" t="str">
        <x:v>FinancialLeverage_2024</x:v>
      </x:c>
      <x:c r="AB1" s="30" t="str">
        <x:v>CurrentRatio_2024</x:v>
      </x:c>
      <x:c r="AC1" s="30" t="str">
        <x:v>CapexRatio_2024</x:v>
      </x:c>
    </x:row>
    <x:row r="2">
      <x:c r="A2" s="13" t="str">
        <x:v>000301.SZ</x:v>
      </x:c>
      <x:c r="B2" s="13" t="str">
        <x:v>东方盛虹</x:v>
      </x:c>
      <x:c r="C2" s="13" t="str">
        <x:v>民营企业</x:v>
      </x:c>
      <x:c r="D2" s="13" t="str">
        <x:v>材料--化工--基础化工--商品化工</x:v>
      </x:c>
      <x:c r="E2" s="13" t="str">
        <x:v>化工</x:v>
      </x:c>
      <x:c r="F2" s="13" t="n">
        <x:v>4555007972.6</x:v>
      </x:c>
      <x:c r="G2" s="13" t="n">
        <x:v>133746317.81</x:v>
      </x:c>
      <x:c r="H2" s="13" t="n">
        <x:v>205227818129.13</x:v>
      </x:c>
      <x:c r="I2" s="13" t="n">
        <x:v>4873766540.51</x:v>
      </x:c>
      <x:c r="J2" s="13" t="n">
        <x:v>-2296841255.74</x:v>
      </x:c>
      <x:c r="K2" s="13" t="n">
        <x:v>204312488701.89</x:v>
      </x:c>
      <x:c r="L2" s="13" t="n">
        <x:v>190214802161.82</x:v>
      </x:c>
      <x:c r="M2" s="13" t="n">
        <x:v>36926353376.68</x:v>
      </x:c>
      <x:c r="N2" s="13" t="n">
        <x:v>129267787949.74</x:v>
      </x:c>
      <x:c r="O2" s="13" t="n">
        <x:v>92099097347.26</x:v>
      </x:c>
      <x:c r="P2" s="13" t="n">
        <x:v>152325288941.97</x:v>
      </x:c>
      <x:c r="Q2" s="13" t="n">
        <x:v>166840344822.36</x:v>
      </x:c>
      <x:c r="R2" s="13" t="n">
        <x:v>12700852089.68</x:v>
      </x:c>
      <x:c r="S2" s="13" t="n">
        <x:f>IFERROR((G2+F2)/H2,"")</x:f>
        <x:v>0.02284658255958177</x:v>
      </x:c>
      <x:c r="T2" s="13" t="n">
        <x:f>IFERROR(LN(K2),"")</x:f>
        <x:v>26.042916466132656</x:v>
      </x:c>
      <x:c r="U2" s="13" t="n">
        <x:f>IFERROR(N2/SUMIFS($N$2:$N$99,$E$2:$E$99,$E2),"")</x:f>
        <x:v>0.22503971938499165</x:v>
      </x:c>
      <x:c r="V2" s="13" t="n">
        <x:f>IFERROR(U2^2,"")</x:f>
        <x:v>0.050642875300875786</x:v>
      </x:c>
      <x:c r="W2" s="13" t="n">
        <x:f>IFERROR(SUMIFS($V$2:$V$99,$E$2:$E$99,$E2),"")</x:f>
        <x:v>0.3404756158039197</x:v>
      </x:c>
      <x:c r="X2" s="13" t="n">
        <x:f>IFERROR(N2/AVERAGE(K2,L2),"")</x:f>
        <x:v>0.6553046693765767</x:v>
      </x:c>
      <x:c r="Y2" s="13" t="n">
        <x:f>IFERROR((M2-O2)/K2,"")</x:f>
        <x:v>-0.2700409765507869</x:v>
      </x:c>
      <x:c r="Z2" s="13" t="n">
        <x:f>IFERROR(P2/K2,"")</x:f>
        <x:v>0.745550553026771</x:v>
      </x:c>
      <x:c r="AA2" s="13" t="n">
        <x:f>IFERROR(Q2/K2,"")</x:f>
        <x:v>0.8165939629162601</x:v>
      </x:c>
      <x:c r="AB2" s="13" t="n">
        <x:f>IFERROR(M2/O2,"")</x:f>
        <x:v>0.4009415340679078</x:v>
      </x:c>
      <x:c r="AC2" s="13" t="n">
        <x:f>IFERROR(R2/K2,"")</x:f>
        <x:v>0.06216385581897378</x:v>
      </x:c>
    </x:row>
    <x:row r="3">
      <x:c r="A3" s="13" t="str">
        <x:v>000333.SZ</x:v>
      </x:c>
      <x:c r="B3" s="13" t="str">
        <x:v>美的集团</x:v>
      </x:c>
      <x:c r="C3" s="13" t="str">
        <x:v>民营企业</x:v>
      </x:c>
      <x:c r="D3" s="13" t="str">
        <x:v>可选消费--家电Ⅱ--家电Ⅲ--家用电器</x:v>
      </x:c>
      <x:c r="E3" s="13" t="str">
        <x:v>家电Ⅱ</x:v>
      </x:c>
      <x:c r="F3" s="13" t="n">
        <x:v>3000695000</x:v>
      </x:c>
      <x:c r="G3" s="13" t="n">
        <x:v>43945411000</x:v>
      </x:c>
      <x:c r="H3" s="13" t="n">
        <x:v>608791766000</x:v>
      </x:c>
      <x:c r="I3" s="13" t="n">
        <x:v>1916510000</x:v>
      </x:c>
      <x:c r="J3" s="13" t="n">
        <x:v>38538987000</x:v>
      </x:c>
      <x:c r="K3" s="13" t="n">
        <x:v>604351853000</x:v>
      </x:c>
      <x:c r="L3" s="13" t="n">
        <x:v>486036015000</x:v>
      </x:c>
      <x:c r="M3" s="13" t="n">
        <x:v>389063786000</x:v>
      </x:c>
      <x:c r="N3" s="13" t="n">
        <x:v>409084266000</x:v>
      </x:c>
      <x:c r="O3" s="13" t="n">
        <x:v>351819806000</x:v>
      </x:c>
      <x:c r="P3" s="13" t="n">
        <x:v>38184639000</x:v>
      </x:c>
      <x:c r="Q3" s="13" t="n">
        <x:v>376684462000</x:v>
      </x:c>
      <x:c r="R3" s="13" t="n">
        <x:v>7839636000</x:v>
      </x:c>
      <x:c r="S3" s="13" t="n">
        <x:f>IFERROR((G3+F3)/H3,"")</x:f>
        <x:v>0.0771135692396996</x:v>
      </x:c>
      <x:c r="T3" s="13" t="n">
        <x:f>IFERROR(LN(K3),"")</x:f>
        <x:v>27.127422403351254</x:v>
      </x:c>
      <x:c r="U3" s="13" t="n">
        <x:f>IFERROR(N3/SUMIFS($N$2:$N$99,$E$2:$E$99,$E3),"")</x:f>
        <x:v>0.7841702727919546</x:v>
      </x:c>
      <x:c r="V3" s="13" t="n">
        <x:f>IFERROR(U3^2,"")</x:f>
        <x:v>0.6149230167306086</x:v>
      </x:c>
      <x:c r="W3" s="13" t="n">
        <x:f>IFERROR(SUMIFS($V$2:$V$99,$E$2:$E$99,$E3),"")</x:f>
        <x:v>0.6526875314442925</x:v>
      </x:c>
      <x:c r="X3" s="13" t="n">
        <x:f>IFERROR(N3/AVERAGE(K3,L3),"")</x:f>
        <x:v>0.7503463272208748</x:v>
      </x:c>
      <x:c r="Y3" s="13" t="n">
        <x:f>IFERROR((M3-O3)/K3,"")</x:f>
        <x:v>0.06162631886560957</x:v>
      </x:c>
      <x:c r="Z3" s="13" t="n">
        <x:f>IFERROR(P3/K3,"")</x:f>
        <x:v>0.06318279460955008</x:v>
      </x:c>
      <x:c r="AA3" s="13" t="n">
        <x:f>IFERROR(Q3/K3,"")</x:f>
        <x:v>0.6232866832957323</x:v>
      </x:c>
      <x:c r="AB3" s="13" t="n">
        <x:f>IFERROR(M3/O3,"")</x:f>
        <x:v>1.1058609531494086</x:v>
      </x:c>
      <x:c r="AC3" s="13" t="n">
        <x:f>IFERROR(R3/K3,"")</x:f>
        <x:v>0.01297197313300866</x:v>
      </x:c>
    </x:row>
    <x:row r="4">
      <x:c r="A4" s="13" t="str">
        <x:v>000876.SZ</x:v>
      </x:c>
      <x:c r="B4" s="13" t="str">
        <x:v>新希望</x:v>
      </x:c>
      <x:c r="C4" s="13" t="str">
        <x:v>民营企业</x:v>
      </x:c>
      <x:c r="D4" s="13" t="str">
        <x:v>日常消费--食品饮料--食品--农产品</x:v>
      </x:c>
      <x:c r="E4" s="13" t="str">
        <x:v>食品饮料</x:v>
      </x:c>
      <x:c r="F4" s="13" t="n">
        <x:v>1971954038.78</x:v>
      </x:c>
      <x:c r="G4" s="13" t="n">
        <x:v>-1784352202.18</x:v>
      </x:c>
      <x:c r="H4" s="13" t="n">
        <x:v>114232592818.92</x:v>
      </x:c>
      <x:c r="I4" s="13" t="n">
        <x:v>1804175384.46</x:v>
      </x:c>
      <x:c r="J4" s="13" t="n">
        <x:v>473599068.1</x:v>
      </x:c>
      <x:c r="K4" s="13" t="n">
        <x:v>117913645385.32</x:v>
      </x:c>
      <x:c r="L4" s="13" t="n">
        <x:v>129610605533.07</x:v>
      </x:c>
      <x:c r="M4" s="13" t="n">
        <x:v>22305554549.13</x:v>
      </x:c>
      <x:c r="N4" s="13" t="n">
        <x:v>102890505597.97</x:v>
      </x:c>
      <x:c r="O4" s="13" t="n">
        <x:v>47135063011.94</x:v>
      </x:c>
      <x:c r="P4" s="13" t="n">
        <x:v>52372880952.1</x:v>
      </x:c>
      <x:c r="Q4" s="13" t="n">
        <x:v>81368210423.3</x:v>
      </x:c>
      <x:c r="R4" s="13" t="n">
        <x:v>2184088833.21</x:v>
      </x:c>
      <x:c r="S4" s="13" t="n">
        <x:f>IFERROR((G4+F4)/H4,"")</x:f>
        <x:v>0.0016422794228034714</x:v>
      </x:c>
      <x:c r="T4" s="13" t="n">
        <x:f>IFERROR(LN(K4),"")</x:f>
        <x:v>25.49321837473353</x:v>
      </x:c>
      <x:c r="U4" s="13" t="n">
        <x:f>IFERROR(N4/SUMIFS($N$2:$N$99,$E$2:$E$99,$E4),"")</x:f>
        <x:v>0.20466693809442135</x:v>
      </x:c>
      <x:c r="V4" s="13" t="n">
        <x:f>IFERROR(U4^2,"")</x:f>
        <x:v>0.0418885555489457</x:v>
      </x:c>
      <x:c r="W4" s="13" t="n">
        <x:f>IFERROR(SUMIFS($V$2:$V$99,$E$2:$E$99,$E4),"")</x:f>
        <x:v>0.21624588016252744</x:v>
      </x:c>
      <x:c r="X4" s="13" t="n">
        <x:f>IFERROR(N4/AVERAGE(K4,L4),"")</x:f>
        <x:v>0.8313569698016662</x:v>
      </x:c>
      <x:c r="Y4" s="13" t="n">
        <x:f>IFERROR((M4-O4)/K4,"")</x:f>
        <x:v>-0.2105736650043492</x:v>
      </x:c>
      <x:c r="Z4" s="13" t="n">
        <x:f>IFERROR(P4/K4,"")</x:f>
        <x:v>0.444163021005373</x:v>
      </x:c>
      <x:c r="AA4" s="13" t="n">
        <x:f>IFERROR(Q4/K4,"")</x:f>
        <x:v>0.6900661086119738</x:v>
      </x:c>
      <x:c r="AB4" s="13" t="n">
        <x:f>IFERROR(M4/O4,"")</x:f>
        <x:v>0.47322636533825524</x:v>
      </x:c>
      <x:c r="AC4" s="13" t="n">
        <x:f>IFERROR(R4/K4,"")</x:f>
        <x:v>0.01852278272012371</x:v>
      </x:c>
    </x:row>
    <x:row r="5">
      <x:c r="A5" s="13" t="str">
        <x:v>000963.SZ</x:v>
      </x:c>
      <x:c r="B5" s="13" t="str">
        <x:v>华东医药</x:v>
      </x:c>
      <x:c r="C5" s="13" t="str">
        <x:v>民营企业</x:v>
      </x:c>
      <x:c r="D5" s="13" t="str">
        <x:v>医疗保健--医疗设备与服务--医疗保健提供商与服务--保健护理产品经销商</x:v>
      </x:c>
      <x:c r="E5" s="13" t="str">
        <x:v>医疗设备与服务</x:v>
      </x:c>
      <x:c r="F5" s="13" t="n">
        <x:v>18773120.98</x:v>
      </x:c>
      <x:c r="G5" s="13" t="n">
        <x:v>3414335326.41</x:v>
      </x:c>
      <x:c r="H5" s="13" t="n">
        <x:v>39038036320.92</x:v>
      </x:c>
      <x:c r="I5" s="13" t="n">
        <x:v>22264685.91</x:v>
      </x:c>
      <x:c r="J5" s="13" t="n">
        <x:v>3512104678.06</x:v>
      </x:c>
      <x:c r="K5" s="13" t="n">
        <x:v>37879046367.15</x:v>
      </x:c>
      <x:c r="L5" s="13" t="n">
        <x:v>33509361816.98</x:v>
      </x:c>
      <x:c r="M5" s="13" t="n">
        <x:v>21051790761.29</x:v>
      </x:c>
      <x:c r="N5" s="13" t="n">
        <x:v>41655068590.48</x:v>
      </x:c>
      <x:c r="O5" s="13" t="n">
        <x:v>13794235373.01</x:v>
      </x:c>
      <x:c r="P5" s="13" t="n">
        <x:v>5259040256.61</x:v>
      </x:c>
      <x:c r="Q5" s="13" t="n">
        <x:v>14315291455.03</x:v>
      </x:c>
      <x:c r="R5" s="13" t="n">
        <x:v>1727864860.12</x:v>
      </x:c>
      <x:c r="S5" s="13" t="n">
        <x:f>IFERROR((G5+F5)/H5,"")</x:f>
        <x:v>0.08794265211414437</x:v>
      </x:c>
      <x:c r="T5" s="13" t="n">
        <x:f>IFERROR(LN(K5),"")</x:f>
        <x:v>24.357663929845753</x:v>
      </x:c>
      <x:c r="U5" s="13" t="n">
        <x:f>IFERROR(N5/SUMIFS($N$2:$N$99,$E$2:$E$99,$E5),"")</x:f>
        <x:v>0.3649905275461272</x:v>
      </x:c>
      <x:c r="V5" s="13" t="n">
        <x:f>IFERROR(U5^2,"")</x:f>
        <x:v>0.13321808519840025</x:v>
      </x:c>
      <x:c r="W5" s="13" t="n">
        <x:f>IFERROR(SUMIFS($V$2:$V$99,$E$2:$E$99,$E5),"")</x:f>
        <x:v>0.28019975017592524</x:v>
      </x:c>
      <x:c r="X5" s="13" t="n">
        <x:f>IFERROR(N5/AVERAGE(K5,L5),"")</x:f>
        <x:v>1.1669981065564683</x:v>
      </x:c>
      <x:c r="Y5" s="13" t="n">
        <x:f>IFERROR((M5-O5)/K5,"")</x:f>
        <x:v>0.19159815476701123</x:v>
      </x:c>
      <x:c r="Z5" s="13" t="n">
        <x:f>IFERROR(P5/K5,"")</x:f>
        <x:v>0.13883771533305597</x:v>
      </x:c>
      <x:c r="AA5" s="13" t="n">
        <x:f>IFERROR(Q5/K5,"")</x:f>
        <x:v>0.3779211154440443</x:v>
      </x:c>
      <x:c r="AB5" s="13" t="n">
        <x:f>IFERROR(M5/O5,"")</x:f>
        <x:v>1.5261295890658961</x:v>
      </x:c>
      <x:c r="AC5" s="13" t="n">
        <x:f>IFERROR(R5/K5,"")</x:f>
        <x:v>0.04561532102398605</x:v>
      </x:c>
    </x:row>
    <x:row r="6">
      <x:c r="A6" s="13" t="str">
        <x:v>002001.SZ</x:v>
      </x:c>
      <x:c r="B6" s="13" t="str">
        <x:v>新和成</x:v>
      </x:c>
      <x:c r="C6" s="13" t="str">
        <x:v>民营企业</x:v>
      </x:c>
      <x:c r="D6" s="13" t="str">
        <x:v>医疗保健--医药生物--制药--西药</x:v>
      </x:c>
      <x:c r="E6" s="13" t="str">
        <x:v>医药生物</x:v>
      </x:c>
      <x:c r="F6" s="13" t="n">
        <x:v>-14746421.76</x:v>
      </x:c>
      <x:c r="G6" s="13" t="n">
        <x:v>6764199225.29</x:v>
      </x:c>
      <x:c r="H6" s="13" t="n">
        <x:v>45606449805.48</x:v>
      </x:c>
      <x:c r="I6" s="13" t="n">
        <x:v>178047841.65</x:v>
      </x:c>
      <x:c r="J6" s="13" t="n">
        <x:v>5868545988.62</x:v>
      </x:c>
      <x:c r="K6" s="13" t="n">
        <x:v>42989132470.97</x:v>
      </x:c>
      <x:c r="L6" s="13" t="n">
        <x:v>39156246864.67</x:v>
      </x:c>
      <x:c r="M6" s="13" t="n">
        <x:v>16922201085.1</x:v>
      </x:c>
      <x:c r="N6" s="13" t="n">
        <x:v>21358846553.03</x:v>
      </x:c>
      <x:c r="O6" s="13" t="n">
        <x:v>6909199513.19</x:v>
      </x:c>
      <x:c r="P6" s="13" t="n">
        <x:v>22487595467.11</x:v>
      </x:c>
      <x:c r="Q6" s="13" t="n">
        <x:v>13543582208.04</x:v>
      </x:c>
      <x:c r="R6" s="13" t="n">
        <x:v>1599799315.13</x:v>
      </x:c>
      <x:c r="S6" s="13" t="n">
        <x:f>IFERROR((G6+F6)/H6,"")</x:f>
        <x:v>0.14799338322359387</x:v>
      </x:c>
      <x:c r="T6" s="13" t="n">
        <x:f>IFERROR(LN(K6),"")</x:f>
        <x:v>24.48421318746429</x:v>
      </x:c>
      <x:c r="U6" s="13" t="n">
        <x:f>IFERROR(N6/SUMIFS($N$2:$N$99,$E$2:$E$99,$E6),"")</x:f>
        <x:v>0.10323614199456259</x:v>
      </x:c>
      <x:c r="V6" s="13" t="n">
        <x:f>IFERROR(U6^2,"")</x:f>
        <x:v>0.01065770101392149</x:v>
      </x:c>
      <x:c r="W6" s="13" t="n">
        <x:f>IFERROR(SUMIFS($V$2:$V$99,$E$2:$E$99,$E6),"")</x:f>
        <x:v>0.13623235092080122</x:v>
      </x:c>
      <x:c r="X6" s="13" t="n">
        <x:f>IFERROR(N6/AVERAGE(K6,L6),"")</x:f>
        <x:v>0.5200255139308401</x:v>
      </x:c>
      <x:c r="Y6" s="13" t="n">
        <x:f>IFERROR((M6-O6)/K6,"")</x:f>
        <x:v>0.2329193681373228</x:v>
      </x:c>
      <x:c r="Z6" s="13" t="n">
        <x:f>IFERROR(P6/K6,"")</x:f>
        <x:v>0.523099541082751</x:v>
      </x:c>
      <x:c r="AA6" s="13" t="n">
        <x:f>IFERROR(Q6/K6,"")</x:f>
        <x:v>0.3150466508526499</x:v>
      </x:c>
      <x:c r="AB6" s="13" t="n">
        <x:f>IFERROR(M6/O6,"")</x:f>
        <x:v>2.449227447086264</x:v>
      </x:c>
      <x:c r="AC6" s="13" t="n">
        <x:f>IFERROR(R6/K6,"")</x:f>
        <x:v>0.03721404046034946</x:v>
      </x:c>
    </x:row>
    <x:row r="7">
      <x:c r="A7" s="13" t="str">
        <x:v>002028.SZ</x:v>
      </x:c>
      <x:c r="B7" s="13" t="str">
        <x:v>思源电气</x:v>
      </x:c>
      <x:c r="C7" s="13" t="str">
        <x:v>民营企业</x:v>
      </x:c>
      <x:c r="D7" s="13" t="str">
        <x:v>工业--电气设备--电气设备Ⅲ--电气部件与设备</x:v>
      </x:c>
      <x:c r="E7" s="13" t="str">
        <x:v>电气设备</x:v>
      </x:c>
      <x:c r="F7" s="13" t="n">
        <x:v>-7608559.41</x:v>
      </x:c>
      <x:c r="G7" s="13" t="n">
        <x:v>3150142665.04</x:v>
      </x:c>
      <x:c r="H7" s="13" t="n">
        <x:v>29839923865.41</x:v>
      </x:c>
      <x:c r="I7" s="13" t="n">
        <x:v>7810000</x:v>
      </x:c>
      <x:c r="J7" s="13" t="n">
        <x:v>2049070000</x:v>
      </x:c>
      <x:c r="K7" s="13" t="n">
        <x:v>23415757000</x:v>
      </x:c>
      <x:c r="L7" s="13" t="n">
        <x:v>18650704000</x:v>
      </x:c>
      <x:c r="M7" s="13" t="n">
        <x:v>18103888000</x:v>
      </x:c>
      <x:c r="N7" s="13" t="n">
        <x:v>15458069000</x:v>
      </x:c>
      <x:c r="O7" s="13" t="n">
        <x:v>10236582000</x:v>
      </x:c>
      <x:c r="P7" s="13" t="n">
        <x:v>2731462000</x:v>
      </x:c>
      <x:c r="Q7" s="13" t="n">
        <x:v>10760415000</x:v>
      </x:c>
      <x:c r="R7" s="13" t="n">
        <x:v>921779000</x:v>
      </x:c>
      <x:c r="S7" s="13" t="n">
        <x:f>IFERROR((G7+F7)/H7,"")</x:f>
        <x:v>0.10531307384710788</x:v>
      </x:c>
      <x:c r="T7" s="13" t="n">
        <x:f>IFERROR(LN(K7),"")</x:f>
        <x:v>23.876675008762504</x:v>
      </x:c>
      <x:c r="U7" s="13" t="n">
        <x:f>IFERROR(N7/SUMIFS($N$2:$N$99,$E$2:$E$99,$E7),"")</x:f>
        <x:v>0.013741649317031748</x:v>
      </x:c>
      <x:c r="V7" s="13" t="n">
        <x:f>IFERROR(U7^2,"")</x:f>
        <x:v>0.0001888329259522791</x:v>
      </x:c>
      <x:c r="W7" s="13" t="n">
        <x:f>IFERROR(SUMIFS($V$2:$V$99,$E$2:$E$99,$E7),"")</x:f>
        <x:v>0.14616578354193543</x:v>
      </x:c>
      <x:c r="X7" s="13" t="n">
        <x:f>IFERROR(N7/AVERAGE(K7,L7),"")</x:f>
        <x:v>0.7349355582824046</x:v>
      </x:c>
      <x:c r="Y7" s="13" t="n">
        <x:f>IFERROR((M7-O7)/K7,"")</x:f>
        <x:v>0.3359834149286739</x:v>
      </x:c>
      <x:c r="Z7" s="13" t="n">
        <x:f>IFERROR(P7/K7,"")</x:f>
        <x:v>0.1166505955797201</x:v>
      </x:c>
      <x:c r="AA7" s="13" t="n">
        <x:f>IFERROR(Q7/K7,"")</x:f>
        <x:v>0.45953735341548</x:v>
      </x:c>
      <x:c r="AB7" s="13" t="n">
        <x:f>IFERROR(M7/O7,"")</x:f>
        <x:v>1.7685481345238088</x:v>
      </x:c>
      <x:c r="AC7" s="13" t="n">
        <x:f>IFERROR(R7/K7,"")</x:f>
        <x:v>0.0393657569985886</x:v>
      </x:c>
    </x:row>
    <x:row r="8">
      <x:c r="A8" s="13" t="str">
        <x:v>002050.SZ</x:v>
      </x:c>
      <x:c r="B8" s="13" t="str">
        <x:v>三花智控</x:v>
      </x:c>
      <x:c r="C8" s="13" t="str">
        <x:v>民营企业</x:v>
      </x:c>
      <x:c r="D8" s="13" t="str">
        <x:v>工业--机械--机械Ⅲ--工业机械</x:v>
      </x:c>
      <x:c r="E8" s="13" t="str">
        <x:v>机械</x:v>
      </x:c>
      <x:c r="F8" s="13" t="n">
        <x:v>135704000</x:v>
      </x:c>
      <x:c r="G8" s="13" t="n">
        <x:v>4062892000</x:v>
      </x:c>
      <x:c r="H8" s="13" t="n">
        <x:v>49406131000</x:v>
      </x:c>
      <x:c r="I8" s="13" t="n">
        <x:v>132384000</x:v>
      </x:c>
      <x:c r="J8" s="13" t="n">
        <x:v>3099165000</x:v>
      </x:c>
      <x:c r="K8" s="13" t="n">
        <x:v>36354749000</x:v>
      </x:c>
      <x:c r="L8" s="13" t="n">
        <x:v>31890585000</x:v>
      </x:c>
      <x:c r="M8" s="13" t="n">
        <x:v>22301163000</x:v>
      </x:c>
      <x:c r="N8" s="13" t="n">
        <x:v>27947165000</x:v>
      </x:c>
      <x:c r="O8" s="13" t="n">
        <x:v>13633304000</x:v>
      </x:c>
      <x:c r="P8" s="13" t="n">
        <x:v>11405812000</x:v>
      </x:c>
      <x:c r="Q8" s="13" t="n">
        <x:v>16835105000</x:v>
      </x:c>
      <x:c r="R8" s="13" t="n">
        <x:v>3290148000</x:v>
      </x:c>
      <x:c r="S8" s="13" t="n">
        <x:f>IFERROR((G8+F8)/H8,"")</x:f>
        <x:v>0.08498127489481012</x:v>
      </x:c>
      <x:c r="T8" s="13" t="n">
        <x:f>IFERROR(LN(K8),"")</x:f>
        <x:v>24.316590678884864</x:v>
      </x:c>
      <x:c r="U8" s="13" t="n">
        <x:f>IFERROR(N8/SUMIFS($N$2:$N$99,$E$2:$E$99,$E8),"")</x:f>
        <x:v>0.24169433831779052</x:v>
      </x:c>
      <x:c r="V8" s="13" t="n">
        <x:f>IFERROR(U8^2,"")</x:f>
        <x:v>0.058416153174874585</x:v>
      </x:c>
      <x:c r="W8" s="13" t="n">
        <x:f>IFERROR(SUMIFS($V$2:$V$99,$E$2:$E$99,$E8),"")</x:f>
        <x:v>0.5244055085518771</x:v>
      </x:c>
      <x:c r="X8" s="13" t="n">
        <x:f>IFERROR(N8/AVERAGE(K8,L8),"")</x:f>
        <x:v>0.8190205355284802</x:v>
      </x:c>
      <x:c r="Y8" s="13" t="n">
        <x:f>IFERROR((M8-O8)/K8,"")</x:f>
        <x:v>0.23842439401795898</x:v>
      </x:c>
      <x:c r="Z8" s="13" t="n">
        <x:f>IFERROR(P8/K8,"")</x:f>
        <x:v>0.3137365079868933</x:v>
      </x:c>
      <x:c r="AA8" s="13" t="n">
        <x:f>IFERROR(Q8/K8,"")</x:f>
        <x:v>0.4630785650589968</x:v>
      </x:c>
      <x:c r="AB8" s="13" t="n">
        <x:f>IFERROR(M8/O8,"")</x:f>
        <x:v>1.635785646678164</x:v>
      </x:c>
      <x:c r="AC8" s="13" t="n">
        <x:f>IFERROR(R8/K8,"")</x:f>
        <x:v>0.09050118871677536</x:v>
      </x:c>
    </x:row>
    <x:row r="9">
      <x:c r="A9" s="13" t="str">
        <x:v>002074.SZ</x:v>
      </x:c>
      <x:c r="B9" s="13" t="str">
        <x:v>国轩高科</x:v>
      </x:c>
      <x:c r="C9" s="13" t="str">
        <x:v>民营企业</x:v>
      </x:c>
      <x:c r="D9" s="13" t="str">
        <x:v>工业--电气设备--电气设备Ⅲ--电气部件与设备</x:v>
      </x:c>
      <x:c r="E9" s="13" t="str">
        <x:v>电气设备</x:v>
      </x:c>
      <x:c r="F9" s="13" t="n">
        <x:v>1442765291.76</x:v>
      </x:c>
      <x:c r="G9" s="13" t="n">
        <x:v>2383271938.21</x:v>
      </x:c>
      <x:c r="H9" s="13" t="n">
        <x:v>127214519738.62</x:v>
      </x:c>
      <x:c r="I9" s="13" t="n">
        <x:v>842650250.38</x:v>
      </x:c>
      <x:c r="J9" s="13" t="n">
        <x:v>1206790129.59</x:v>
      </x:c>
      <x:c r="K9" s="13" t="n">
        <x:v>107839685095.13</x:v>
      </x:c>
      <x:c r="L9" s="13" t="n">
        <x:v>93592652122.38</x:v>
      </x:c>
      <x:c r="M9" s="13" t="n">
        <x:v>48762776435.99</x:v>
      </x:c>
      <x:c r="N9" s="13" t="n">
        <x:v>35116250530.83</x:v>
      </x:c>
      <x:c r="O9" s="13" t="n">
        <x:v>55571739076.81</x:v>
      </x:c>
      <x:c r="P9" s="13" t="n">
        <x:v>44817255554.21</x:v>
      </x:c>
      <x:c r="Q9" s="13" t="n">
        <x:v>77943425823.11</x:v>
      </x:c>
      <x:c r="R9" s="13" t="n">
        <x:v>9068397787.47</x:v>
      </x:c>
      <x:c r="S9" s="13" t="n">
        <x:f>IFERROR((G9+F9)/H9,"")</x:f>
        <x:v>0.030075475958492224</x:v>
      </x:c>
      <x:c r="T9" s="13" t="n">
        <x:f>IFERROR(LN(K9),"")</x:f>
        <x:v>25.40391156399422</x:v>
      </x:c>
      <x:c r="U9" s="13" t="n">
        <x:f>IFERROR(N9/SUMIFS($N$2:$N$99,$E$2:$E$99,$E9),"")</x:f>
        <x:v>0.03121704270589657</x:v>
      </x:c>
      <x:c r="V9" s="13" t="n">
        <x:f>IFERROR(U9^2,"")</x:f>
        <x:v>0.0009745037553017703</x:v>
      </x:c>
      <x:c r="W9" s="13" t="n">
        <x:f>IFERROR(SUMIFS($V$2:$V$99,$E$2:$E$99,$E9),"")</x:f>
        <x:v>0.14616578354193543</x:v>
      </x:c>
      <x:c r="X9" s="13" t="n">
        <x:f>IFERROR(N9/AVERAGE(K9,L9),"")</x:f>
        <x:v>0.3486654726436589</x:v>
      </x:c>
      <x:c r="Y9" s="13" t="n">
        <x:f>IFERROR((M9-O9)/K9,"")</x:f>
        <x:v>-0.06313967473860409</x:v>
      </x:c>
      <x:c r="Z9" s="13" t="n">
        <x:f>IFERROR(P9/K9,"")</x:f>
        <x:v>0.4155914913389702</x:v>
      </x:c>
      <x:c r="AA9" s="13" t="n">
        <x:f>IFERROR(Q9/K9,"")</x:f>
        <x:v>0.7227712669445646</x:v>
      </x:c>
      <x:c r="AB9" s="13" t="n">
        <x:f>IFERROR(M9/O9,"")</x:f>
        <x:v>0.8774743645972856</x:v>
      </x:c>
      <x:c r="AC9" s="13" t="n">
        <x:f>IFERROR(R9/K9,"")</x:f>
        <x:v>0.08409147133052527</x:v>
      </x:c>
    </x:row>
    <x:row r="10">
      <x:c r="A10" s="13" t="str">
        <x:v>002230.SZ</x:v>
      </x:c>
      <x:c r="B10" s="13" t="str">
        <x:v>科大讯飞</x:v>
      </x:c>
      <x:c r="C10" s="13" t="str">
        <x:v>民营企业</x:v>
      </x:c>
      <x:c r="D10" s="13" t="str">
        <x:v>信息技术--软件服务--软件--应用软件</x:v>
      </x:c>
      <x:c r="E10" s="13" t="str">
        <x:v>软件服务</x:v>
      </x:c>
      <x:c r="F10" s="13" t="n">
        <x:v>172981046.56</x:v>
      </x:c>
      <x:c r="G10" s="13" t="n">
        <x:v>839390861.36</x:v>
      </x:c>
      <x:c r="H10" s="13" t="n">
        <x:v>44857109349.34</x:v>
      </x:c>
      <x:c r="I10" s="13" t="n">
        <x:v>134760518.04</x:v>
      </x:c>
      <x:c r="J10" s="13" t="n">
        <x:v>560162663.16</x:v>
      </x:c>
      <x:c r="K10" s="13" t="n">
        <x:v>41478899803.2</x:v>
      </x:c>
      <x:c r="L10" s="13" t="n">
        <x:v>37831122978.15</x:v>
      </x:c>
      <x:c r="M10" s="13" t="n">
        <x:v>24062142022.92</x:v>
      </x:c>
      <x:c r="N10" s="13" t="n">
        <x:v>23199141890.81</x:v>
      </x:c>
      <x:c r="O10" s="13" t="n">
        <x:v>15359047904.03</x:v>
      </x:c>
      <x:c r="P10" s="13" t="n">
        <x:v>6070182217.22</x:v>
      </x:c>
      <x:c r="Q10" s="13" t="n">
        <x:v>22764027052.88</x:v>
      </x:c>
      <x:c r="R10" s="13" t="n">
        <x:v>3220014055.18</x:v>
      </x:c>
      <x:c r="S10" s="13" t="n">
        <x:f>IFERROR((G10+F10)/H10,"")</x:f>
        <x:v>0.022568817353695477</x:v>
      </x:c>
      <x:c r="T10" s="13" t="n">
        <x:f>IFERROR(LN(K10),"")</x:f>
        <x:v>24.448450696407285</x:v>
      </x:c>
      <x:c r="U10" s="13" t="n">
        <x:f>IFERROR(N10/SUMIFS($N$2:$N$99,$E$2:$E$99,$E10),"")</x:f>
        <x:v>0.2705786096334248</x:v>
      </x:c>
      <x:c r="V10" s="13" t="n">
        <x:f>IFERROR(U10^2,"")</x:f>
        <x:v>0.07321278399115727</x:v>
      </x:c>
      <x:c r="W10" s="13" t="n">
        <x:f>IFERROR(SUMIFS($V$2:$V$99,$E$2:$E$99,$E10),"")</x:f>
        <x:v>0.23288063539086398</x:v>
      </x:c>
      <x:c r="X10" s="13" t="n">
        <x:f>IFERROR(N10/AVERAGE(K10,L10),"")</x:f>
        <x:v>0.5850242145250109</x:v>
      </x:c>
      <x:c r="Y10" s="13" t="n">
        <x:f>IFERROR((M10-O10)/K10,"")</x:f>
        <x:v>0.20981979175394075</x:v>
      </x:c>
      <x:c r="Z10" s="13" t="n">
        <x:f>IFERROR(P10/K10,"")</x:f>
        <x:v>0.14634385786557677</x:v>
      </x:c>
      <x:c r="AA10" s="13" t="n">
        <x:f>IFERROR(Q10/K10,"")</x:f>
        <x:v>0.5488098083817501</x:v>
      </x:c>
      <x:c r="AB10" s="13" t="n">
        <x:f>IFERROR(M10/O10,"")</x:f>
        <x:v>1.5666428136216977</x:v>
      </x:c>
      <x:c r="AC10" s="13" t="n">
        <x:f>IFERROR(R10/K10,"")</x:f>
        <x:v>0.07763017029037939</x:v>
      </x:c>
    </x:row>
    <x:row r="11">
      <x:c r="A11" s="13" t="str">
        <x:v>002236.SZ</x:v>
      </x:c>
      <x:c r="B11" s="13" t="str">
        <x:v>大华股份</x:v>
      </x:c>
      <x:c r="C11" s="13" t="str">
        <x:v>民营企业</x:v>
      </x:c>
      <x:c r="D11" s="13" t="str">
        <x:v>信息技术--硬件设备--电子设备、仪器和元件--电子设备和仪器</x:v>
      </x:c>
      <x:c r="E11" s="13" t="str">
        <x:v>硬件设备</x:v>
      </x:c>
      <x:c r="F11" s="13" t="n">
        <x:v>-356374741.08</x:v>
      </x:c>
      <x:c r="G11" s="13" t="n">
        <x:v>3857923611.86</x:v>
      </x:c>
      <x:c r="H11" s="13" t="n">
        <x:v>52558604784.24</x:v>
      </x:c>
      <x:c r="I11" s="13" t="n">
        <x:v>-389890980.61</x:v>
      </x:c>
      <x:c r="J11" s="13" t="n">
        <x:v>2905728684.03</x:v>
      </x:c>
      <x:c r="K11" s="13" t="n">
        <x:v>52735912081.82</x:v>
      </x:c>
      <x:c r="L11" s="13" t="n">
        <x:v>52881927214</x:v>
      </x:c>
      <x:c r="M11" s="13" t="n">
        <x:v>37246063663.15</x:v>
      </x:c>
      <x:c r="N11" s="13" t="n">
        <x:v>31959615055.7</x:v>
      </x:c>
      <x:c r="O11" s="13" t="n">
        <x:v>14890730488.33</x:v>
      </x:c>
      <x:c r="P11" s="13" t="n">
        <x:v>6228507815.41</x:v>
      </x:c>
      <x:c r="Q11" s="13" t="n">
        <x:v>15561703251.21</x:v>
      </x:c>
      <x:c r="R11" s="13" t="n">
        <x:v>907507733.38</x:v>
      </x:c>
      <x:c r="S11" s="13" t="n">
        <x:f>IFERROR((G11+F11)/H11,"")</x:f>
        <x:v>0.06662180027712532</x:v>
      </x:c>
      <x:c r="T11" s="13" t="n">
        <x:f>IFERROR(LN(K11),"")</x:f>
        <x:v>24.68856250409421</x:v>
      </x:c>
      <x:c r="U11" s="13" t="n">
        <x:f>IFERROR(N11/SUMIFS($N$2:$N$99,$E$2:$E$99,$E11),"")</x:f>
        <x:v>0.06479548496182044</x:v>
      </x:c>
      <x:c r="V11" s="13" t="n">
        <x:f>IFERROR(U11^2,"")</x:f>
        <x:v>0.004198454871437499</x:v>
      </x:c>
      <x:c r="W11" s="13" t="n">
        <x:f>IFERROR(SUMIFS($V$2:$V$99,$E$2:$E$99,$E11),"")</x:f>
        <x:v>0.12235054081259594</x:v>
      </x:c>
      <x:c r="X11" s="13" t="n">
        <x:f>IFERROR(N11/AVERAGE(K11,L11),"")</x:f>
        <x:v>0.60519350270338</x:v>
      </x:c>
      <x:c r="Y11" s="13" t="n">
        <x:f>IFERROR((M11-O11)/K11,"")</x:f>
        <x:v>0.4239109990197117</x:v>
      </x:c>
      <x:c r="Z11" s="13" t="n">
        <x:f>IFERROR(P11/K11,"")</x:f>
        <x:v>0.11810752046435534</x:v>
      </x:c>
      <x:c r="AA11" s="13" t="n">
        <x:f>IFERROR(Q11/K11,"")</x:f>
        <x:v>0.2950874012962163</x:v>
      </x:c>
      <x:c r="AB11" s="13" t="n">
        <x:f>IFERROR(M11/O11,"")</x:f>
        <x:v>2.5012919072264506</x:v>
      </x:c>
      <x:c r="AC11" s="13" t="n">
        <x:f>IFERROR(R11/K11,"")</x:f>
        <x:v>0.017208533948782335</x:v>
      </x:c>
    </x:row>
    <x:row r="12">
      <x:c r="A12" s="13" t="str">
        <x:v>002241.SZ</x:v>
      </x:c>
      <x:c r="B12" s="13" t="str">
        <x:v>歌尔股份</x:v>
      </x:c>
      <x:c r="C12" s="13" t="str">
        <x:v>民营企业</x:v>
      </x:c>
      <x:c r="D12" s="13" t="str">
        <x:v>可选消费--家电Ⅱ--家电Ⅲ--消费电子产品</x:v>
      </x:c>
      <x:c r="E12" s="13" t="str">
        <x:v>家电Ⅱ</x:v>
      </x:c>
      <x:c r="F12" s="13" t="n">
        <x:v>611002980.02</x:v>
      </x:c>
      <x:c r="G12" s="13" t="n">
        <x:v>3940313461.54</x:v>
      </x:c>
      <x:c r="H12" s="13" t="n">
        <x:v>90530293646.97</x:v>
      </x:c>
      <x:c r="I12" s="13" t="n">
        <x:v>70707836.97</x:v>
      </x:c>
      <x:c r="J12" s="13" t="n">
        <x:v>2665044826.06</x:v>
      </x:c>
      <x:c r="K12" s="13" t="n">
        <x:v>82706773086.83</x:v>
      </x:c>
      <x:c r="L12" s="13" t="n">
        <x:v>73744409441.15</x:v>
      </x:c>
      <x:c r="M12" s="13" t="n">
        <x:v>49439525376.46</x:v>
      </x:c>
      <x:c r="N12" s="13" t="n">
        <x:v>100675116172.32</x:v>
      </x:c>
      <x:c r="O12" s="13" t="n">
        <x:v>44956954765.76</x:v>
      </x:c>
      <x:c r="P12" s="13" t="n">
        <x:v>23200813694</x:v>
      </x:c>
      <x:c r="Q12" s="13" t="n">
        <x:v>48658696377.72</x:v>
      </x:c>
      <x:c r="R12" s="13" t="n">
        <x:v>3634412755.75</x:v>
      </x:c>
      <x:c r="S12" s="13" t="n">
        <x:f>IFERROR((G12+F12)/H12,"")</x:f>
        <x:v>0.050273960883284174</x:v>
      </x:c>
      <x:c r="T12" s="13" t="n">
        <x:f>IFERROR(LN(K12),"")</x:f>
        <x:v>25.138567335100472</x:v>
      </x:c>
      <x:c r="U12" s="13" t="n">
        <x:f>IFERROR(N12/SUMIFS($N$2:$N$99,$E$2:$E$99,$E12),"")</x:f>
        <x:v>0.192983304110283</x:v>
      </x:c>
      <x:c r="V12" s="13" t="n">
        <x:f>IFERROR(U12^2,"")</x:f>
        <x:v>0.03724255566532197</x:v>
      </x:c>
      <x:c r="W12" s="13" t="n">
        <x:f>IFERROR(SUMIFS($V$2:$V$99,$E$2:$E$99,$E12),"")</x:f>
        <x:v>0.6526875314442925</x:v>
      </x:c>
      <x:c r="X12" s="13" t="n">
        <x:f>IFERROR(N12/AVERAGE(K12,L12),"")</x:f>
        <x:v>1.2869844068364917</x:v>
      </x:c>
      <x:c r="Y12" s="13" t="n">
        <x:f>IFERROR((M12-O12)/K12,"")</x:f>
        <x:v>0.05419834970461191</x:v>
      </x:c>
      <x:c r="Z12" s="13" t="n">
        <x:f>IFERROR(P12/K12,"")</x:f>
        <x:v>0.2805189082838783</x:v>
      </x:c>
      <x:c r="AA12" s="13" t="n">
        <x:f>IFERROR(Q12/K12,"")</x:f>
        <x:v>0.5883278304986642</x:v>
      </x:c>
      <x:c r="AB12" s="13" t="n">
        <x:f>IFERROR(M12/O12,"")</x:f>
        <x:v>1.0997080570526987</x:v>
      </x:c>
      <x:c r="AC12" s="13" t="n">
        <x:f>IFERROR(R12/K12,"")</x:f>
        <x:v>0.04394335095064583</x:v>
      </x:c>
    </x:row>
    <x:row r="13">
      <x:c r="A13" s="13" t="str">
        <x:v>002311.SZ</x:v>
      </x:c>
      <x:c r="B13" s="13" t="str">
        <x:v>海大集团</x:v>
      </x:c>
      <x:c r="C13" s="13" t="str">
        <x:v>民营企业</x:v>
      </x:c>
      <x:c r="D13" s="13" t="str">
        <x:v>日常消费--食品饮料--食品--农产品</x:v>
      </x:c>
      <x:c r="E13" s="13" t="str">
        <x:v>食品饮料</x:v>
      </x:c>
      <x:c r="F13" s="13" t="n">
        <x:v>254979226.98</x:v>
      </x:c>
      <x:c r="G13" s="13" t="n">
        <x:v>4280330734.08</x:v>
      </x:c>
      <x:c r="H13" s="13" t="n">
        <x:v>47590711885.11</x:v>
      </x:c>
      <x:c r="I13" s="13" t="n">
        <x:v>369711343.72</x:v>
      </x:c>
      <x:c r="J13" s="13" t="n">
        <x:v>4503995518.39</x:v>
      </x:c>
      <x:c r="K13" s="13" t="n">
        <x:v>48140586659.7</x:v>
      </x:c>
      <x:c r="L13" s="13" t="n">
        <x:v>44746735775.61</x:v>
      </x:c>
      <x:c r="M13" s="13" t="n">
        <x:v>23489116125.37</x:v>
      </x:c>
      <x:c r="N13" s="13" t="n">
        <x:v>114452385662.5</x:v>
      </x:c>
      <x:c r="O13" s="13" t="n">
        <x:v>18534787077.24</x:v>
      </x:c>
      <x:c r="P13" s="13" t="n">
        <x:v>17353692406.54</x:v>
      </x:c>
      <x:c r="Q13" s="13" t="n">
        <x:v>23044152989.77</x:v>
      </x:c>
      <x:c r="R13" s="13" t="n">
        <x:v>3136747295.93</x:v>
      </x:c>
      <x:c r="S13" s="13" t="n">
        <x:f>IFERROR((G13+F13)/H13,"")</x:f>
        <x:v>0.09529821642527246</x:v>
      </x:c>
      <x:c r="T13" s="13" t="n">
        <x:f>IFERROR(LN(K13),"")</x:f>
        <x:v>24.59739145576011</x:v>
      </x:c>
      <x:c r="U13" s="13" t="n">
        <x:f>IFERROR(N13/SUMIFS($N$2:$N$99,$E$2:$E$99,$E13),"")</x:f>
        <x:v>0.227665509028346</x:v>
      </x:c>
      <x:c r="V13" s="13" t="n">
        <x:f>IFERROR(U13^2,"")</x:f>
        <x:v>0.0518315840011359</x:v>
      </x:c>
      <x:c r="W13" s="13" t="n">
        <x:f>IFERROR(SUMIFS($V$2:$V$99,$E$2:$E$99,$E13),"")</x:f>
        <x:v>0.21624588016252744</x:v>
      </x:c>
      <x:c r="X13" s="13" t="n">
        <x:f>IFERROR(N13/AVERAGE(K13,L13),"")</x:f>
        <x:v>2.4643273734628033</x:v>
      </x:c>
      <x:c r="Y13" s="13" t="n">
        <x:f>IFERROR((M13-O13)/K13,"")</x:f>
        <x:v>0.10291376553326098</x:v>
      </x:c>
      <x:c r="Z13" s="13" t="n">
        <x:f>IFERROR(P13/K13,"")</x:f>
        <x:v>0.3604794542536667</x:v>
      </x:c>
      <x:c r="AA13" s="13" t="n">
        <x:f>IFERROR(Q13/K13,"")</x:f>
        <x:v>0.4786845069559775</x:v>
      </x:c>
      <x:c r="AB13" s="13" t="n">
        <x:f>IFERROR(M13/O13,"")</x:f>
        <x:v>1.267298945894756</x:v>
      </x:c>
      <x:c r="AC13" s="13" t="n">
        <x:f>IFERROR(R13/K13,"")</x:f>
        <x:v>0.06515806128627571</x:v>
      </x:c>
    </x:row>
    <x:row r="14">
      <x:c r="A14" s="13" t="str">
        <x:v>002352.SZ</x:v>
      </x:c>
      <x:c r="B14" s="13" t="str">
        <x:v>顺丰控股</x:v>
      </x:c>
      <x:c r="C14" s="13" t="str">
        <x:v>民营企业</x:v>
      </x:c>
      <x:c r="D14" s="13" t="str">
        <x:v>工业--交通运输--航空运输--航空货运与物流</x:v>
      </x:c>
      <x:c r="E14" s="13" t="str">
        <x:v>交通运输</x:v>
      </x:c>
      <x:c r="F14" s="13" t="n">
        <x:v>1752364000</x:v>
      </x:c>
      <x:c r="G14" s="13" t="n">
        <x:v>11117216000</x:v>
      </x:c>
      <x:c r="H14" s="13" t="n">
        <x:v>216469037000</x:v>
      </x:c>
      <x:c r="I14" s="13" t="n">
        <x:v>2373319000</x:v>
      </x:c>
      <x:c r="J14" s="13" t="n">
        <x:v>10170427000</x:v>
      </x:c>
      <x:c r="K14" s="13" t="n">
        <x:v>213824213000</x:v>
      </x:c>
      <x:c r="L14" s="13" t="n">
        <x:v>221490655000</x:v>
      </x:c>
      <x:c r="M14" s="13" t="n">
        <x:v>88686806000</x:v>
      </x:c>
      <x:c r="N14" s="13" t="n">
        <x:v>284420059000</x:v>
      </x:c>
      <x:c r="O14" s="13" t="n">
        <x:v>72193368000</x:v>
      </x:c>
      <x:c r="P14" s="13" t="n">
        <x:v>59174305000</x:v>
      </x:c>
      <x:c r="Q14" s="13" t="n">
        <x:v>111488992000</x:v>
      </x:c>
      <x:c r="R14" s="13" t="n">
        <x:v>9344770000</x:v>
      </x:c>
      <x:c r="S14" s="13" t="n">
        <x:f>IFERROR((G14+F14)/H14,"")</x:f>
        <x:v>0.05945229016748479</x:v>
      </x:c>
      <x:c r="T14" s="13" t="n">
        <x:f>IFERROR(LN(K14),"")</x:f>
        <x:v>26.08842007982657</x:v>
      </x:c>
      <x:c r="U14" s="13" t="n">
        <x:f>IFERROR(N14/SUMIFS($N$2:$N$99,$E$2:$E$99,$E14),"")</x:f>
        <x:v>0.7622022392942179</x:v>
      </x:c>
      <x:c r="V14" s="13" t="n">
        <x:f>IFERROR(U14^2,"")</x:f>
        <x:v>0.5809522535851203</x:v>
      </x:c>
      <x:c r="W14" s="13" t="n">
        <x:f>IFERROR(SUMIFS($V$2:$V$99,$E$2:$E$99,$E14),"")</x:f>
        <x:v>0.6177817572282329</x:v>
      </x:c>
      <x:c r="X14" s="13" t="n">
        <x:f>IFERROR(N14/AVERAGE(K14,L14),"")</x:f>
        <x:v>1.30673257408704</x:v>
      </x:c>
      <x:c r="Y14" s="13" t="n">
        <x:f>IFERROR((M14-O14)/K14,"")</x:f>
        <x:v>0.07713550195552456</x:v>
      </x:c>
      <x:c r="Z14" s="13" t="n">
        <x:f>IFERROR(P14/K14,"")</x:f>
        <x:v>0.27674277000612646</x:v>
      </x:c>
      <x:c r="AA14" s="13" t="n">
        <x:f>IFERROR(Q14/K14,"")</x:f>
        <x:v>0.5214048981440657</x:v>
      </x:c>
      <x:c r="AB14" s="13" t="n">
        <x:f>IFERROR(M14/O14,"")</x:f>
        <x:v>1.2284619551203098</x:v>
      </x:c>
      <x:c r="AC14" s="13" t="n">
        <x:f>IFERROR(R14/K14,"")</x:f>
        <x:v>0.04370304872816251</x:v>
      </x:c>
    </x:row>
    <x:row r="15">
      <x:c r="A15" s="13" t="str">
        <x:v>002384.SZ</x:v>
      </x:c>
      <x:c r="B15" s="13" t="str">
        <x:v>东山精密</x:v>
      </x:c>
      <x:c r="C15" s="13" t="str">
        <x:v>民营企业</x:v>
      </x:c>
      <x:c r="D15" s="13" t="str">
        <x:v>信息技术--硬件设备--电子设备、仪器和元件--电子元件</x:v>
      </x:c>
      <x:c r="E15" s="13" t="str">
        <x:v>硬件设备</x:v>
      </x:c>
      <x:c r="F15" s="13" t="n">
        <x:v>424225000</x:v>
      </x:c>
      <x:c r="G15" s="13" t="n">
        <x:v>1386067000</x:v>
      </x:c>
      <x:c r="H15" s="13" t="n">
        <x:v>60250538000</x:v>
      </x:c>
      <x:c r="I15" s="13" t="n">
        <x:v>445902000</x:v>
      </x:c>
      <x:c r="J15" s="13" t="n">
        <x:v>1085641000</x:v>
      </x:c>
      <x:c r="K15" s="13" t="n">
        <x:v>45573749000</x:v>
      </x:c>
      <x:c r="L15" s="13" t="n">
        <x:v>43808753000</x:v>
      </x:c>
      <x:c r="M15" s="13" t="n">
        <x:v>22677792000</x:v>
      </x:c>
      <x:c r="N15" s="13" t="n">
        <x:v>36770374000</x:v>
      </x:c>
      <x:c r="O15" s="13" t="n">
        <x:v>19118077000</x:v>
      </x:c>
      <x:c r="P15" s="13" t="n">
        <x:v>17066248000</x:v>
      </x:c>
      <x:c r="Q15" s="13" t="n">
        <x:v>26687646000</x:v>
      </x:c>
      <x:c r="R15" s="13" t="n">
        <x:v>3792145000</x:v>
      </x:c>
      <x:c r="S15" s="13" t="n">
        <x:f>IFERROR((G15+F15)/H15,"")</x:f>
        <x:v>0.030046071953747533</x:v>
      </x:c>
      <x:c r="T15" s="13" t="n">
        <x:f>IFERROR(LN(K15),"")</x:f>
        <x:v>24.542597707874936</x:v>
      </x:c>
      <x:c r="U15" s="13" t="n">
        <x:f>IFERROR(N15/SUMIFS($N$2:$N$99,$E$2:$E$99,$E15),"")</x:f>
        <x:v>0.07454890215057784</x:v>
      </x:c>
      <x:c r="V15" s="13" t="n">
        <x:f>IFERROR(U15^2,"")</x:f>
        <x:v>0.005557538811856429</x:v>
      </x:c>
      <x:c r="W15" s="13" t="n">
        <x:f>IFERROR(SUMIFS($V$2:$V$99,$E$2:$E$99,$E15),"")</x:f>
        <x:v>0.12235054081259594</x:v>
      </x:c>
      <x:c r="X15" s="13" t="n">
        <x:f>IFERROR(N15/AVERAGE(K15,L15),"")</x:f>
        <x:v>0.8227644824710769</x:v>
      </x:c>
      <x:c r="Y15" s="13" t="n">
        <x:f>IFERROR((M15-O15)/K15,"")</x:f>
        <x:v>0.07810889115135118</x:v>
      </x:c>
      <x:c r="Z15" s="13" t="n">
        <x:f>IFERROR(P15/K15,"")</x:f>
        <x:v>0.3744754024954146</x:v>
      </x:c>
      <x:c r="AA15" s="13" t="n">
        <x:f>IFERROR(Q15/K15,"")</x:f>
        <x:v>0.5855925085294168</x:v>
      </x:c>
      <x:c r="AB15" s="13" t="n">
        <x:f>IFERROR(M15/O15,"")</x:f>
        <x:v>1.1861962895117537</x:v>
      </x:c>
      <x:c r="AC15" s="13" t="n">
        <x:f>IFERROR(R15/K15,"")</x:f>
        <x:v>0.08320897629027622</x:v>
      </x:c>
    </x:row>
    <x:row r="16">
      <x:c r="A16" s="13" t="str">
        <x:v>002422.SZ</x:v>
      </x:c>
      <x:c r="B16" s="13" t="str">
        <x:v>科伦药业</x:v>
      </x:c>
      <x:c r="C16" s="13" t="str">
        <x:v>民营企业</x:v>
      </x:c>
      <x:c r="D16" s="13" t="str">
        <x:v>医疗保健--医药生物--制药--西药</x:v>
      </x:c>
      <x:c r="E16" s="13" t="str">
        <x:v>医药生物</x:v>
      </x:c>
      <x:c r="F16" s="13" t="n">
        <x:v>71499487</x:v>
      </x:c>
      <x:c r="G16" s="13" t="n">
        <x:v>1701935493</x:v>
      </x:c>
      <x:c r="H16" s="13" t="n">
        <x:v>39834823325</x:v>
      </x:c>
      <x:c r="I16" s="13" t="n">
        <x:v>66179387</x:v>
      </x:c>
      <x:c r="J16" s="13" t="n">
        <x:v>2935892103</x:v>
      </x:c>
      <x:c r="K16" s="13" t="n">
        <x:v>37316259482</x:v>
      </x:c>
      <x:c r="L16" s="13" t="n">
        <x:v>36454901140</x:v>
      </x:c>
      <x:c r="M16" s="13" t="n">
        <x:v>17935981250</x:v>
      </x:c>
      <x:c r="N16" s="13" t="n">
        <x:v>21536189806</x:v>
      </x:c>
      <x:c r="O16" s="13" t="n">
        <x:v>9137877768</x:v>
      </x:c>
      <x:c r="P16" s="13" t="n">
        <x:v>12380216105</x:v>
      </x:c>
      <x:c r="Q16" s="13" t="n">
        <x:v>10578077409</x:v>
      </x:c>
      <x:c r="R16" s="13" t="n">
        <x:v>1678259615</x:v>
      </x:c>
      <x:c r="S16" s="13" t="n">
        <x:f>IFERROR((G16+F16)/H16,"")</x:f>
        <x:v>0.044519714962235245</x:v>
      </x:c>
      <x:c r="T16" s="13" t="n">
        <x:f>IFERROR(LN(K16),"")</x:f>
        <x:v>24.342694979660138</x:v>
      </x:c>
      <x:c r="U16" s="13" t="n">
        <x:f>IFERROR(N16/SUMIFS($N$2:$N$99,$E$2:$E$99,$E16),"")</x:f>
        <x:v>0.10409331530679801</x:v>
      </x:c>
      <x:c r="V16" s="13" t="n">
        <x:f>IFERROR(U16^2,"")</x:f>
        <x:v>0.010835418291560468</x:v>
      </x:c>
      <x:c r="W16" s="13" t="n">
        <x:f>IFERROR(SUMIFS($V$2:$V$99,$E$2:$E$99,$E16),"")</x:f>
        <x:v>0.13623235092080122</x:v>
      </x:c>
      <x:c r="X16" s="13" t="n">
        <x:f>IFERROR(N16/AVERAGE(K16,L16),"")</x:f>
        <x:v>0.5838647413004775</x:v>
      </x:c>
      <x:c r="Y16" s="13" t="n">
        <x:f>IFERROR((M16-O16)/K16,"")</x:f>
        <x:v>0.2357713126698533</x:v>
      </x:c>
      <x:c r="Z16" s="13" t="n">
        <x:f>IFERROR(P16/K16,"")</x:f>
        <x:v>0.3317646590750009</x:v>
      </x:c>
      <x:c r="AA16" s="13" t="n">
        <x:f>IFERROR(Q16/K16,"")</x:f>
        <x:v>0.2834710004656945</x:v>
      </x:c>
      <x:c r="AB16" s="13" t="n">
        <x:f>IFERROR(M16/O16,"")</x:f>
        <x:v>1.9628169368614388</x:v>
      </x:c>
      <x:c r="AC16" s="13" t="n">
        <x:f>IFERROR(R16/K16,"")</x:f>
        <x:v>0.044973950720048214</x:v>
      </x:c>
    </x:row>
    <x:row r="17">
      <x:c r="A17" s="13" t="str">
        <x:v>002459.SZ</x:v>
      </x:c>
      <x:c r="B17" s="13" t="str">
        <x:v>晶澳科技</x:v>
      </x:c>
      <x:c r="C17" s="13" t="str">
        <x:v>民营企业</x:v>
      </x:c>
      <x:c r="D17" s="13" t="str">
        <x:v>工业--电气设备--电气设备Ⅲ--光伏设备</x:v>
      </x:c>
      <x:c r="E17" s="13" t="str">
        <x:v>电气设备</x:v>
      </x:c>
      <x:c r="F17" s="13" t="n">
        <x:v>401282955.79</x:v>
      </x:c>
      <x:c r="G17" s="13" t="n">
        <x:v>-4608260132.26</x:v>
      </x:c>
      <x:c r="H17" s="13" t="n">
        <x:v>105009906906.66</x:v>
      </x:c>
      <x:c r="I17" s="13" t="n">
        <x:v>1061947000</x:v>
      </x:c>
      <x:c r="J17" s="13" t="n">
        <x:v>-4655944000</x:v>
      </x:c>
      <x:c r="K17" s="13" t="n">
        <x:v>112958014000</x:v>
      </x:c>
      <x:c r="L17" s="13" t="n">
        <x:v>106589468000</x:v>
      </x:c>
      <x:c r="M17" s="13" t="n">
        <x:v>54938617000</x:v>
      </x:c>
      <x:c r="N17" s="13" t="n">
        <x:v>70120697000</x:v>
      </x:c>
      <x:c r="O17" s="13" t="n">
        <x:v>49975653000</x:v>
      </x:c>
      <x:c r="P17" s="13" t="n">
        <x:v>44994537000</x:v>
      </x:c>
      <x:c r="Q17" s="13" t="n">
        <x:v>84428878000</x:v>
      </x:c>
      <x:c r="R17" s="13" t="n">
        <x:v>11828862000</x:v>
      </x:c>
      <x:c r="S17" s="13" t="n">
        <x:f>IFERROR((G17+F17)/H17,"")</x:f>
        <x:v>-0.040062669327089774</x:v>
      </x:c>
      <x:c r="T17" s="13" t="n">
        <x:f>IFERROR(LN(K17),"")</x:f>
        <x:v>25.45028202909203</x:v>
      </x:c>
      <x:c r="U17" s="13" t="n">
        <x:f>IFERROR(N17/SUMIFS($N$2:$N$99,$E$2:$E$99,$E17),"")</x:f>
        <x:v>0.062334695752738596</x:v>
      </x:c>
      <x:c r="V17" s="13" t="n">
        <x:f>IFERROR(U17^2,"")</x:f>
        <x:v>0.003885614294586487</x:v>
      </x:c>
      <x:c r="W17" s="13" t="n">
        <x:f>IFERROR(SUMIFS($V$2:$V$99,$E$2:$E$99,$E17),"")</x:f>
        <x:v>0.14616578354193543</x:v>
      </x:c>
      <x:c r="X17" s="13" t="n">
        <x:f>IFERROR(N17/AVERAGE(K17,L17),"")</x:f>
        <x:v>0.6387747776583472</x:v>
      </x:c>
      <x:c r="Y17" s="13" t="n">
        <x:f>IFERROR((M17-O17)/K17,"")</x:f>
        <x:v>0.043936360283388126</x:v>
      </x:c>
      <x:c r="Z17" s="13" t="n">
        <x:f>IFERROR(P17/K17,"")</x:f>
        <x:v>0.3983297457761607</x:v>
      </x:c>
      <x:c r="AA17" s="13" t="n">
        <x:f>IFERROR(Q17/K17,"")</x:f>
        <x:v>0.7474359278306717</x:v>
      </x:c>
      <x:c r="AB17" s="13" t="n">
        <x:f>IFERROR(M17/O17,"")</x:f>
        <x:v>1.0993076368606929</x:v>
      </x:c>
      <x:c r="AC17" s="13" t="n">
        <x:f>IFERROR(R17/K17,"")</x:f>
        <x:v>0.10471910386101511</x:v>
      </x:c>
    </x:row>
    <x:row r="18">
      <x:c r="A18" s="13" t="str">
        <x:v>002460.SZ</x:v>
      </x:c>
      <x:c r="B18" s="13" t="str">
        <x:v>赣锋锂业</x:v>
      </x:c>
      <x:c r="C18" s="13" t="str">
        <x:v>民营企业</x:v>
      </x:c>
      <x:c r="D18" s="13" t="str">
        <x:v>材料--有色金属--其他金属与采矿--金属非金属</x:v>
      </x:c>
      <x:c r="E18" s="13" t="str">
        <x:v>有色金属</x:v>
      </x:c>
      <x:c r="F18" s="13" t="n">
        <x:v>1474383000</x:v>
      </x:c>
      <x:c r="G18" s="13" t="n">
        <x:v>1613671000</x:v>
      </x:c>
      <x:c r="H18" s="13" t="n">
        <x:v>113258092000</x:v>
      </x:c>
      <x:c r="I18" s="13" t="n">
        <x:v>1090748000</x:v>
      </x:c>
      <x:c r="J18" s="13" t="n">
        <x:v>-2068512000</x:v>
      </x:c>
      <x:c r="K18" s="13" t="n">
        <x:v>100832297000</x:v>
      </x:c>
      <x:c r="L18" s="13" t="n">
        <x:v>91697901000</x:v>
      </x:c>
      <x:c r="M18" s="13" t="n">
        <x:v>22002876000</x:v>
      </x:c>
      <x:c r="N18" s="13" t="n">
        <x:v>18726175000</x:v>
      </x:c>
      <x:c r="O18" s="13" t="n">
        <x:v>31669917000</x:v>
      </x:c>
      <x:c r="P18" s="13" t="n">
        <x:v>35872704000</x:v>
      </x:c>
      <x:c r="Q18" s="13" t="n">
        <x:v>53244400000</x:v>
      </x:c>
      <x:c r="R18" s="13" t="n">
        <x:v>9221133000</x:v>
      </x:c>
      <x:c r="S18" s="13" t="n">
        <x:f>IFERROR((G18+F18)/H18,"")</x:f>
        <x:v>0.027265636789996425</x:v>
      </x:c>
      <x:c r="T18" s="13" t="n">
        <x:f>IFERROR(LN(K18),"")</x:f>
        <x:v>25.33672454801043</x:v>
      </x:c>
      <x:c r="U18" s="13" t="n">
        <x:f>IFERROR(N18/SUMIFS($N$2:$N$99,$E$2:$E$99,$E18),"")</x:f>
        <x:v>0.06133950469432216</x:v>
      </x:c>
      <x:c r="V18" s="13" t="n">
        <x:f>IFERROR(U18^2,"")</x:f>
        <x:v>0.0037625348361447703</x:v>
      </x:c>
      <x:c r="W18" s="13" t="n">
        <x:f>IFERROR(SUMIFS($V$2:$V$99,$E$2:$E$99,$E18),"")</x:f>
        <x:v>0.5317816081836909</x:v>
      </x:c>
      <x:c r="X18" s="13" t="n">
        <x:f>IFERROR(N18/AVERAGE(K18,L18),"")</x:f>
        <x:v>0.1945271463336884</x:v>
      </x:c>
      <x:c r="Y18" s="13" t="n">
        <x:f>IFERROR((M18-O18)/K18,"")</x:f>
        <x:v>-0.09587246633883587</x:v>
      </x:c>
      <x:c r="Z18" s="13" t="n">
        <x:f>IFERROR(P18/K18,"")</x:f>
        <x:v>0.3557660101703326</x:v>
      </x:c>
      <x:c r="AA18" s="13" t="n">
        <x:f>IFERROR(Q18/K18,"")</x:f>
        <x:v>0.5280490634860773</x:v>
      </x:c>
      <x:c r="AB18" s="13" t="n">
        <x:f>IFERROR(M18/O18,"")</x:f>
        <x:v>0.6947563519032904</x:v>
      </x:c>
      <x:c r="AC18" s="13" t="n">
        <x:f>IFERROR(R18/K18,"")</x:f>
        <x:v>0.09145019278892358</x:v>
      </x:c>
    </x:row>
    <x:row r="19">
      <x:c r="A19" s="13" t="str">
        <x:v>002466.SZ</x:v>
      </x:c>
      <x:c r="B19" s="13" t="str">
        <x:v>天齐锂业</x:v>
      </x:c>
      <x:c r="C19" s="13" t="str">
        <x:v>民营企业</x:v>
      </x:c>
      <x:c r="D19" s="13" t="str">
        <x:v>材料--有色金属--其他金属与采矿--金属非金属</x:v>
      </x:c>
      <x:c r="E19" s="13" t="str">
        <x:v>有色金属</x:v>
      </x:c>
      <x:c r="F19" s="13" t="n">
        <x:v>589765000</x:v>
      </x:c>
      <x:c r="G19" s="13" t="n">
        <x:v>458430000</x:v>
      </x:c>
      <x:c r="H19" s="13" t="n">
        <x:v>72967793000</x:v>
      </x:c>
      <x:c r="I19" s="13" t="n">
        <x:v>600534000</x:v>
      </x:c>
      <x:c r="J19" s="13" t="n">
        <x:v>-8727021000</x:v>
      </x:c>
      <x:c r="K19" s="13" t="n">
        <x:v>69556579000</x:v>
      </x:c>
      <x:c r="L19" s="13" t="n">
        <x:v>74969069000</x:v>
      </x:c>
      <x:c r="M19" s="13" t="n">
        <x:v>12830213000</x:v>
      </x:c>
      <x:c r="N19" s="13" t="n">
        <x:v>13029739000</x:v>
      </x:c>
      <x:c r="O19" s="13" t="n">
        <x:v>5041272000</x:v>
      </x:c>
      <x:c r="P19" s="13" t="n">
        <x:v>21601133000</x:v>
      </x:c>
      <x:c r="Q19" s="13" t="n">
        <x:v>19495531000</x:v>
      </x:c>
      <x:c r="R19" s="13" t="n">
        <x:v>4524444000</x:v>
      </x:c>
      <x:c r="S19" s="13" t="n">
        <x:f>IFERROR((G19+F19)/H19,"")</x:f>
        <x:v>0.014365173412878199</x:v>
      </x:c>
      <x:c r="T19" s="13" t="n">
        <x:f>IFERROR(LN(K19),"")</x:f>
        <x:v>24.96540634465955</x:v>
      </x:c>
      <x:c r="U19" s="13" t="n">
        <x:f>IFERROR(N19/SUMIFS($N$2:$N$99,$E$2:$E$99,$E19),"")</x:f>
        <x:v>0.04268024498095807</x:v>
      </x:c>
      <x:c r="V19" s="13" t="n">
        <x:f>IFERROR(U19^2,"")</x:f>
        <x:v>0.0018216033116345966</x:v>
      </x:c>
      <x:c r="W19" s="13" t="n">
        <x:f>IFERROR(SUMIFS($V$2:$V$99,$E$2:$E$99,$E19),"")</x:f>
        <x:v>0.5317816081836909</x:v>
      </x:c>
      <x:c r="X19" s="13" t="n">
        <x:f>IFERROR(N19/AVERAGE(K19,L19),"")</x:f>
        <x:v>0.18031040414362992</x:v>
      </x:c>
      <x:c r="Y19" s="13" t="n">
        <x:f>IFERROR((M19-O19)/K19,"")</x:f>
        <x:v>0.11197993219304245</x:v>
      </x:c>
      <x:c r="Z19" s="13" t="n">
        <x:f>IFERROR(P19/K19,"")</x:f>
        <x:v>0.31055485060586435</x:v>
      </x:c>
      <x:c r="AA19" s="13" t="n">
        <x:f>IFERROR(Q19/K19,"")</x:f>
        <x:v>0.28028306279985393</x:v>
      </x:c>
      <x:c r="AB19" s="13" t="n">
        <x:f>IFERROR(M19/O19,"")</x:f>
        <x:v>2.5450348642168086</x:v>
      </x:c>
      <x:c r="AC19" s="13" t="n">
        <x:f>IFERROR(R19/K19,"")</x:f>
        <x:v>0.06504695982819972</x:v>
      </x:c>
    </x:row>
    <x:row r="20">
      <x:c r="A20" s="13" t="str">
        <x:v>002493.SZ</x:v>
      </x:c>
      <x:c r="B20" s="13" t="str">
        <x:v>荣盛石化</x:v>
      </x:c>
      <x:c r="C20" s="13" t="str">
        <x:v>民营企业</x:v>
      </x:c>
      <x:c r="D20" s="13" t="str">
        <x:v>材料--化工--基础化工--商品化工</x:v>
      </x:c>
      <x:c r="E20" s="13" t="str">
        <x:v>化工</x:v>
      </x:c>
      <x:c r="F20" s="13" t="n">
        <x:v>5617068173.04</x:v>
      </x:c>
      <x:c r="G20" s="13" t="n">
        <x:v>848314274.77</x:v>
      </x:c>
      <x:c r="H20" s="13" t="n">
        <x:v>386633124294.1</x:v>
      </x:c>
      <x:c r="I20" s="13" t="n">
        <x:v>7131339847.35</x:v>
      </x:c>
      <x:c r="J20" s="13" t="n">
        <x:v>724484686.45</x:v>
      </x:c>
      <x:c r="K20" s="13" t="n">
        <x:v>377845944183.98</x:v>
      </x:c>
      <x:c r="L20" s="13" t="n">
        <x:v>374918440311.68</x:v>
      </x:c>
      <x:c r="M20" s="13" t="n">
        <x:v>78302919654.82</x:v>
      </x:c>
      <x:c r="N20" s="13" t="n">
        <x:v>301577722845.41</x:v>
      </x:c>
      <x:c r="O20" s="13" t="n">
        <x:v>161555861255.49</x:v>
      </x:c>
      <x:c r="P20" s="13" t="n">
        <x:v>276533245111.98</x:v>
      </x:c>
      <x:c r="Q20" s="13" t="n">
        <x:v>283021813884.31</x:v>
      </x:c>
      <x:c r="R20" s="13" t="n">
        <x:v>31582215734.4</x:v>
      </x:c>
      <x:c r="S20" s="13" t="n">
        <x:f>IFERROR((G20+F20)/H20,"")</x:f>
        <x:v>0.01672226729050763</x:v>
      </x:c>
      <x:c r="T20" s="13" t="n">
        <x:f>IFERROR(LN(K20),"")</x:f>
        <x:v>26.657752394424023</x:v>
      </x:c>
      <x:c r="U20" s="13" t="n">
        <x:f>IFERROR(N20/SUMIFS($N$2:$N$99,$E$2:$E$99,$E20),"")</x:f>
        <x:v>0.5250106557736014</x:v>
      </x:c>
      <x:c r="V20" s="13" t="n">
        <x:f>IFERROR(U20^2,"")</x:f>
        <x:v>0.27563618867582695</x:v>
      </x:c>
      <x:c r="W20" s="13" t="n">
        <x:f>IFERROR(SUMIFS($V$2:$V$99,$E$2:$E$99,$E20),"")</x:f>
        <x:v>0.3404756158039197</x:v>
      </x:c>
      <x:c r="X20" s="13" t="n">
        <x:f>IFERROR(N20/AVERAGE(K20,L20),"")</x:f>
        <x:v>0.8012539622141189</x:v>
      </x:c>
      <x:c r="Y20" s="13" t="n">
        <x:f>IFERROR((M20-O20)/K20,"")</x:f>
        <x:v>-0.22033567617211905</x:v>
      </x:c>
      <x:c r="Z20" s="13" t="n">
        <x:f>IFERROR(P20/K20,"")</x:f>
        <x:v>0.7318677079072495</x:v>
      </x:c>
      <x:c r="AA20" s="13" t="n">
        <x:f>IFERROR(Q20/K20,"")</x:f>
        <x:v>0.7490402325094208</x:v>
      </x:c>
      <x:c r="AB20" s="13" t="n">
        <x:f>IFERROR(M20/O20,"")</x:f>
        <x:v>0.4846801536404122</x:v>
      </x:c>
      <x:c r="AC20" s="13" t="n">
        <x:f>IFERROR(R20/K20,"")</x:f>
        <x:v>0.08358490072615958</x:v>
      </x:c>
    </x:row>
    <x:row r="21">
      <x:c r="A21" s="13" t="str">
        <x:v>002594.SZ</x:v>
      </x:c>
      <x:c r="B21" s="13" t="str">
        <x:v>比亚迪</x:v>
      </x:c>
      <x:c r="C21" s="13" t="str">
        <x:v>民营企业</x:v>
      </x:c>
      <x:c r="D21" s="13" t="str">
        <x:v>可选消费--汽车与零配件--汽车--汽车制造</x:v>
      </x:c>
      <x:c r="E21" s="13" t="str">
        <x:v>汽车与零配件</x:v>
      </x:c>
      <x:c r="F21" s="13" t="n">
        <x:v>2551657000</x:v>
      </x:c>
      <x:c r="G21" s="13" t="n">
        <x:v>32619022000</x:v>
      </x:c>
      <x:c r="H21" s="13" t="n">
        <x:v>883729883000</x:v>
      </x:c>
      <x:c r="I21" s="13" t="n">
        <x:v>2093781000</x:v>
      </x:c>
      <x:c r="J21" s="13" t="n">
        <x:v>40254346000</x:v>
      </x:c>
      <x:c r="K21" s="13" t="n">
        <x:v>783355855000</x:v>
      </x:c>
      <x:c r="L21" s="13" t="n">
        <x:v>679547670000</x:v>
      </x:c>
      <x:c r="M21" s="13" t="n">
        <x:v>370572244000</x:v>
      </x:c>
      <x:c r="N21" s="13" t="n">
        <x:v>777102455000</x:v>
      </x:c>
      <x:c r="O21" s="13" t="n">
        <x:v>495985176000</x:v>
      </x:c>
      <x:c r="P21" s="13" t="n">
        <x:v>280845347000</x:v>
      </x:c>
      <x:c r="Q21" s="13" t="n">
        <x:v>584667646000</x:v>
      </x:c>
      <x:c r="R21" s="13" t="n">
        <x:v>97359768000</x:v>
      </x:c>
      <x:c r="S21" s="13" t="n">
        <x:f>IFERROR((G21+F21)/H21,"")</x:f>
        <x:v>0.03979799673697353</x:v>
      </x:c>
      <x:c r="T21" s="13" t="n">
        <x:f>IFERROR(LN(K21),"")</x:f>
        <x:v>27.38685290606703</x:v>
      </x:c>
      <x:c r="U21" s="13" t="n">
        <x:f>IFERROR(N21/SUMIFS($N$2:$N$99,$E$2:$E$99,$E21),"")</x:f>
        <x:v>0.6514550263395998</x:v>
      </x:c>
      <x:c r="V21" s="13" t="n">
        <x:f>IFERROR(U21^2,"")</x:f>
        <x:v>0.42439365134312873</x:v>
      </x:c>
      <x:c r="W21" s="13" t="n">
        <x:f>IFERROR(SUMIFS($V$2:$V$99,$E$2:$E$99,$E21),"")</x:f>
        <x:v>0.4695797494099714</x:v>
      </x:c>
      <x:c r="X21" s="13" t="n">
        <x:f>IFERROR(N21/AVERAGE(K21,L21),"")</x:f>
        <x:v>1.0624110773128392</x:v>
      </x:c>
      <x:c r="Y21" s="13" t="n">
        <x:f>IFERROR((M21-O21)/K21,"")</x:f>
        <x:v>-0.16009701235972762</x:v>
      </x:c>
      <x:c r="Z21" s="13" t="n">
        <x:f>IFERROR(P21/K21,"")</x:f>
        <x:v>0.35851566718678574</x:v>
      </x:c>
      <x:c r="AA21" s="13" t="n">
        <x:f>IFERROR(Q21/K21,"")</x:f>
        <x:v>0.7463627702125236</x:v>
      </x:c>
      <x:c r="AB21" s="13" t="n">
        <x:f>IFERROR(M21/O21,"")</x:f>
        <x:v>0.7471437896361645</x:v>
      </x:c>
      <x:c r="AC21" s="13" t="n">
        <x:f>IFERROR(R21/K21,"")</x:f>
        <x:v>0.12428549219179577</x:v>
      </x:c>
    </x:row>
    <x:row r="22">
      <x:c r="A22" s="13" t="str">
        <x:v>002600.SZ</x:v>
      </x:c>
      <x:c r="B22" s="13" t="str">
        <x:v>领益智造</x:v>
      </x:c>
      <x:c r="C22" s="13" t="str">
        <x:v>民营企业</x:v>
      </x:c>
      <x:c r="D22" s="13" t="str">
        <x:v>信息技术--硬件设备--电子设备、仪器和元件--电子元件</x:v>
      </x:c>
      <x:c r="E22" s="13" t="str">
        <x:v>硬件设备</x:v>
      </x:c>
      <x:c r="F22" s="13" t="n">
        <x:v>380264000</x:v>
      </x:c>
      <x:c r="G22" s="13" t="n">
        <x:v>2287724000</x:v>
      </x:c>
      <x:c r="H22" s="13" t="n">
        <x:v>57900450000</x:v>
      </x:c>
      <x:c r="I22" s="13" t="n">
        <x:v>304163000</x:v>
      </x:c>
      <x:c r="J22" s="13" t="n">
        <x:v>1755226000</x:v>
      </x:c>
      <x:c r="K22" s="13" t="n">
        <x:v>45193486000</x:v>
      </x:c>
      <x:c r="L22" s="13" t="n">
        <x:v>37367171000</x:v>
      </x:c>
      <x:c r="M22" s="13" t="n">
        <x:v>25545831000</x:v>
      </x:c>
      <x:c r="N22" s="13" t="n">
        <x:v>44259533000</x:v>
      </x:c>
      <x:c r="O22" s="13" t="n">
        <x:v>15798184000</x:v>
      </x:c>
      <x:c r="P22" s="13" t="n">
        <x:v>13654814000</x:v>
      </x:c>
      <x:c r="Q22" s="13" t="n">
        <x:v>25344505000</x:v>
      </x:c>
      <x:c r="R22" s="13" t="n">
        <x:v>3623127000</x:v>
      </x:c>
      <x:c r="S22" s="13" t="n">
        <x:f>IFERROR((G22+F22)/H22,"")</x:f>
        <x:v>0.04607888194305917</x:v>
      </x:c>
      <x:c r="T22" s="13" t="n">
        <x:f>IFERROR(LN(K22),"")</x:f>
        <x:v>24.53421879835478</x:v>
      </x:c>
      <x:c r="U22" s="13" t="n">
        <x:f>IFERROR(N22/SUMIFS($N$2:$N$99,$E$2:$E$99,$E22),"")</x:f>
        <x:v>0.08973255466064259</x:v>
      </x:c>
      <x:c r="V22" s="13" t="n">
        <x:f>IFERROR(U22^2,"")</x:f>
        <x:v>0.00805193136592521</x:v>
      </x:c>
      <x:c r="W22" s="13" t="n">
        <x:f>IFERROR(SUMIFS($V$2:$V$99,$E$2:$E$99,$E22),"")</x:f>
        <x:v>0.12235054081259594</x:v>
      </x:c>
      <x:c r="X22" s="13" t="n">
        <x:f>IFERROR(N22/AVERAGE(K22,L22),"")</x:f>
        <x:v>1.0721700773287208</x:v>
      </x:c>
      <x:c r="Y22" s="13" t="n">
        <x:f>IFERROR((M22-O22)/K22,"")</x:f>
        <x:v>0.2156869908198717</x:v>
      </x:c>
      <x:c r="Z22" s="13" t="n">
        <x:f>IFERROR(P22/K22,"")</x:f>
        <x:v>0.3021411979593696</x:v>
      </x:c>
      <x:c r="AA22" s="13" t="n">
        <x:f>IFERROR(Q22/K22,"")</x:f>
        <x:v>0.5607999568787413</x:v>
      </x:c>
      <x:c r="AB22" s="13" t="n">
        <x:f>IFERROR(M22/O22,"")</x:f>
        <x:v>1.617010600712082</x:v>
      </x:c>
      <x:c r="AC22" s="13" t="n">
        <x:f>IFERROR(R22/K22,"")</x:f>
        <x:v>0.08016923058336327</x:v>
      </x:c>
    </x:row>
    <x:row r="23">
      <x:c r="A23" s="13" t="str">
        <x:v>002601.SZ</x:v>
      </x:c>
      <x:c r="B23" s="13" t="str">
        <x:v>龙佰集团</x:v>
      </x:c>
      <x:c r="C23" s="13" t="str">
        <x:v>民营企业</x:v>
      </x:c>
      <x:c r="D23" s="13" t="str">
        <x:v>材料--化工--基础化工--商品化工</x:v>
      </x:c>
      <x:c r="E23" s="13" t="str">
        <x:v>化工</x:v>
      </x:c>
      <x:c r="F23" s="13" t="n">
        <x:v>401725045.68</x:v>
      </x:c>
      <x:c r="G23" s="13" t="n">
        <x:v>1244565890.88</x:v>
      </x:c>
      <x:c r="H23" s="13" t="n">
        <x:v>64424518688.7</x:v>
      </x:c>
      <x:c r="I23" s="13" t="n">
        <x:v>700629038.56</x:v>
      </x:c>
      <x:c r="J23" s="13" t="n">
        <x:v>2168585326.01</x:v>
      </x:c>
      <x:c r="K23" s="13" t="n">
        <x:v>66200879676.09</x:v>
      </x:c>
      <x:c r="L23" s="13" t="n">
        <x:v>63817240694.66</x:v>
      </x:c>
      <x:c r="M23" s="13" t="n">
        <x:v>22837809591</x:v>
      </x:c>
      <x:c r="N23" s="13" t="n">
        <x:v>27166725366.75</x:v>
      </x:c>
      <x:c r="O23" s="13" t="n">
        <x:v>29894692058.86</x:v>
      </x:c>
      <x:c r="P23" s="13" t="n">
        <x:v>28671800045.12</x:v>
      </x:c>
      <x:c r="Q23" s="13" t="n">
        <x:v>40408571305.08</x:v>
      </x:c>
      <x:c r="R23" s="13" t="n">
        <x:v>1582633931.01</x:v>
      </x:c>
      <x:c r="S23" s="13" t="n">
        <x:f>IFERROR((G23+F23)/H23,"")</x:f>
        <x:v>0.025553794891583072</x:v>
      </x:c>
      <x:c r="T23" s="13" t="n">
        <x:f>IFERROR(LN(K23),"")</x:f>
        <x:v>24.915959587959545</x:v>
      </x:c>
      <x:c r="U23" s="13" t="n">
        <x:f>IFERROR(N23/SUMIFS($N$2:$N$99,$E$2:$E$99,$E23),"")</x:f>
        <x:v>0.047294011525280774</x:v>
      </x:c>
      <x:c r="V23" s="13" t="n">
        <x:f>IFERROR(U23^2,"")</x:f>
        <x:v>0.0022367235261533907</x:v>
      </x:c>
      <x:c r="W23" s="13" t="n">
        <x:f>IFERROR(SUMIFS($V$2:$V$99,$E$2:$E$99,$E23),"")</x:f>
        <x:v>0.3404756158039197</x:v>
      </x:c>
      <x:c r="X23" s="13" t="n">
        <x:f>IFERROR(N23/AVERAGE(K23,L23),"")</x:f>
        <x:v>0.4178913722069414</x:v>
      </x:c>
      <x:c r="Y23" s="13" t="n">
        <x:f>IFERROR((M23-O23)/K23,"")</x:f>
        <x:v>-0.10659801655790926</x:v>
      </x:c>
      <x:c r="Z23" s="13" t="n">
        <x:f>IFERROR(P23/K23,"")</x:f>
        <x:v>0.4331030068694917</x:v>
      </x:c>
      <x:c r="AA23" s="13" t="n">
        <x:f>IFERROR(Q23/K23,"")</x:f>
        <x:v>0.6103932682283452</x:v>
      </x:c>
      <x:c r="AB23" s="13" t="n">
        <x:f>IFERROR(M23/O23,"")</x:f>
        <x:v>0.7639419581922562</x:v>
      </x:c>
      <x:c r="AC23" s="13" t="n">
        <x:f>IFERROR(R23/K23,"")</x:f>
        <x:v>0.023906539290014985</x:v>
      </x:c>
    </x:row>
    <x:row r="24">
      <x:c r="A24" s="13" t="str">
        <x:v>002625.SZ</x:v>
      </x:c>
      <x:c r="B24" s="13" t="str">
        <x:v>光启技术</x:v>
      </x:c>
      <x:c r="C24" s="13" t="str">
        <x:v>民营企业</x:v>
      </x:c>
      <x:c r="D24" s="13" t="str">
        <x:v>工业--国防军工--航空航天与国防Ⅲ--航空航天</x:v>
      </x:c>
      <x:c r="E24" s="13" t="str">
        <x:v>国防军工</x:v>
      </x:c>
      <x:c r="F24" s="13" t="n">
        <x:v>-109581295.47</x:v>
      </x:c>
      <x:c r="G24" s="13" t="n">
        <x:v>686946947.27</x:v>
      </x:c>
      <x:c r="H24" s="13" t="n">
        <x:v>11884396306.72</x:v>
      </x:c>
      <x:c r="I24" s="13" t="n">
        <x:v>-166242678.24</x:v>
      </x:c>
      <x:c r="J24" s="13" t="n">
        <x:v>651967766.93</x:v>
      </x:c>
      <x:c r="K24" s="13" t="n">
        <x:v>9919567934.64</x:v>
      </x:c>
      <x:c r="L24" s="13" t="n">
        <x:v>9778783862.03</x:v>
      </x:c>
      <x:c r="M24" s="13" t="n">
        <x:v>7296275475.11</x:v>
      </x:c>
      <x:c r="N24" s="13" t="n">
        <x:v>1540727178.6</x:v>
      </x:c>
      <x:c r="O24" s="13" t="n">
        <x:v>806597308.9</x:v>
      </x:c>
      <x:c r="P24" s="13" t="n">
        <x:v>1671217173.96</x:v>
      </x:c>
      <x:c r="Q24" s="13" t="n">
        <x:v>985317721.68</x:v>
      </x:c>
      <x:c r="R24" s="13" t="n">
        <x:v>630444850.85</x:v>
      </x:c>
      <x:c r="S24" s="13" t="n">
        <x:f>IFERROR((G24+F24)/H24,"")</x:f>
        <x:v>0.04858182417507653</x:v>
      </x:c>
      <x:c r="T24" s="13" t="n">
        <x:f>IFERROR(LN(K24),"")</x:f>
        <x:v>23.01777520231884</x:v>
      </x:c>
      <x:c r="U24" s="13" t="n">
        <x:f>IFERROR(N24/SUMIFS($N$2:$N$99,$E$2:$E$99,$E24),"")</x:f>
        <x:v>1</x:v>
      </x:c>
      <x:c r="V24" s="13" t="n">
        <x:f>IFERROR(U24^2,"")</x:f>
        <x:v>1</x:v>
      </x:c>
      <x:c r="W24" s="13" t="n">
        <x:f>IFERROR(SUMIFS($V$2:$V$99,$E$2:$E$99,$E24),"")</x:f>
        <x:v>1</x:v>
      </x:c>
      <x:c r="X24" s="13" t="n">
        <x:f>IFERROR(N24/AVERAGE(K24,L24),"")</x:f>
        <x:v>0.15643209081690373</x:v>
      </x:c>
      <x:c r="Y24" s="13" t="n">
        <x:f>IFERROR((M24-O24)/K24,"")</x:f>
        <x:v>0.6542299230138316</x:v>
      </x:c>
      <x:c r="Z24" s="13" t="n">
        <x:f>IFERROR(P24/K24,"")</x:f>
        <x:v>0.16847681118488672</x:v>
      </x:c>
      <x:c r="AA24" s="13" t="n">
        <x:f>IFERROR(Q24/K24,"")</x:f>
        <x:v>0.09933070958052359</x:v>
      </x:c>
      <x:c r="AB24" s="13" t="n">
        <x:f>IFERROR(M24/O24,"")</x:f>
        <x:v>9.045747356956003</x:v>
      </x:c>
      <x:c r="AC24" s="13" t="n">
        <x:f>IFERROR(R24/K24,"")</x:f>
        <x:v>0.06355567651776761</x:v>
      </x:c>
    </x:row>
    <x:row r="25">
      <x:c r="A25" s="13" t="str">
        <x:v>002648.SZ</x:v>
      </x:c>
      <x:c r="B25" s="13" t="str">
        <x:v>卫星化学</x:v>
      </x:c>
      <x:c r="C25" s="13" t="str">
        <x:v>民营企业</x:v>
      </x:c>
      <x:c r="D25" s="13" t="str">
        <x:v>材料--化工--基础化工--商品化工</x:v>
      </x:c>
      <x:c r="E25" s="13" t="str">
        <x:v>化工</x:v>
      </x:c>
      <x:c r="F25" s="13" t="n">
        <x:v>873927568.44</x:v>
      </x:c>
      <x:c r="G25" s="13" t="n">
        <x:v>5310687058.76</x:v>
      </x:c>
      <x:c r="H25" s="13" t="n">
        <x:v>69564640490.94</x:v>
      </x:c>
      <x:c r="I25" s="13" t="n">
        <x:v>1024572403.49</x:v>
      </x:c>
      <x:c r="J25" s="13" t="n">
        <x:v>6071835708.47</x:v>
      </x:c>
      <x:c r="K25" s="13" t="n">
        <x:v>68305210214.96</x:v>
      </x:c>
      <x:c r="L25" s="13" t="n">
        <x:v>64581962271.67</x:v>
      </x:c>
      <x:c r="M25" s="13" t="n">
        <x:v>15498536547.38</x:v>
      </x:c>
      <x:c r="N25" s="13" t="n">
        <x:v>45364866882.29</x:v>
      </x:c>
      <x:c r="O25" s="13" t="n">
        <x:v>15372383364.45</x:v>
      </x:c>
      <x:c r="P25" s="13" t="n">
        <x:v>29775449466.93</x:v>
      </x:c>
      <x:c r="Q25" s="13" t="n">
        <x:v>38000485258.24</x:v>
      </x:c>
      <x:c r="R25" s="13" t="n">
        <x:v>3139954408.45</x:v>
      </x:c>
      <x:c r="S25" s="13" t="n">
        <x:f>IFERROR((G25+F25)/H25,"")</x:f>
        <x:v>0.08890457254652924</x:v>
      </x:c>
      <x:c r="T25" s="13" t="n">
        <x:f>IFERROR(LN(K25),"")</x:f>
        <x:v>24.947251884873687</x:v>
      </x:c>
      <x:c r="U25" s="13" t="n">
        <x:f>IFERROR(N25/SUMIFS($N$2:$N$99,$E$2:$E$99,$E25),"")</x:f>
        <x:v>0.07897479391460861</x:v>
      </x:c>
      <x:c r="V25" s="13" t="n">
        <x:f>IFERROR(U25^2,"")</x:f>
        <x:v>0.006237018073854902</x:v>
      </x:c>
      <x:c r="W25" s="13" t="n">
        <x:f>IFERROR(SUMIFS($V$2:$V$99,$E$2:$E$99,$E25),"")</x:f>
        <x:v>0.3404756158039197</x:v>
      </x:c>
      <x:c r="X25" s="13" t="n">
        <x:f>IFERROR(N25/AVERAGE(K25,L25),"")</x:f>
        <x:v>0.6827576512225698</x:v>
      </x:c>
      <x:c r="Y25" s="13" t="n">
        <x:f>IFERROR((M25-O25)/K25,"")</x:f>
        <x:v>0.0018469042483433968</x:v>
      </x:c>
      <x:c r="Z25" s="13" t="n">
        <x:f>IFERROR(P25/K25,"")</x:f>
        <x:v>0.43591769022048443</x:v>
      </x:c>
      <x:c r="AA25" s="13" t="n">
        <x:f>IFERROR(Q25/K25,"")</x:f>
        <x:v>0.556333625775406</x:v>
      </x:c>
      <x:c r="AB25" s="13" t="n">
        <x:f>IFERROR(M25/O25,"")</x:f>
        <x:v>1.008206481710685</x:v>
      </x:c>
      <x:c r="AC25" s="13" t="n">
        <x:f>IFERROR(R25/K25,"")</x:f>
        <x:v>0.04596947141467543</x:v>
      </x:c>
    </x:row>
    <x:row r="26">
      <x:c r="A26" s="13" t="str">
        <x:v>002709.SZ</x:v>
      </x:c>
      <x:c r="B26" s="13" t="str">
        <x:v>天赐材料</x:v>
      </x:c>
      <x:c r="C26" s="13" t="str">
        <x:v>民营企业</x:v>
      </x:c>
      <x:c r="D26" s="13" t="str">
        <x:v>材料--化工--多元化工Ⅲ--特种化工</x:v>
      </x:c>
      <x:c r="E26" s="13" t="str">
        <x:v>化工</x:v>
      </x:c>
      <x:c r="F26" s="13" t="n">
        <x:v>202484000</x:v>
      </x:c>
      <x:c r="G26" s="13" t="n">
        <x:v>1361918000</x:v>
      </x:c>
      <x:c r="H26" s="13" t="n">
        <x:v>26926734000</x:v>
      </x:c>
      <x:c r="I26" s="13" t="n">
        <x:v>228158000</x:v>
      </x:c>
      <x:c r="J26" s="13" t="n">
        <x:v>483930000</x:v>
      </x:c>
      <x:c r="K26" s="13" t="n">
        <x:v>23953390000</x:v>
      </x:c>
      <x:c r="L26" s="13" t="n">
        <x:v>23976871000</x:v>
      </x:c>
      <x:c r="M26" s="13" t="n">
        <x:v>10801397000</x:v>
      </x:c>
      <x:c r="N26" s="13" t="n">
        <x:v>12518297000</x:v>
      </x:c>
      <x:c r="O26" s="13" t="n">
        <x:v>5875861000</x:v>
      </x:c>
      <x:c r="P26" s="13" t="n">
        <x:v>9929251000</x:v>
      </x:c>
      <x:c r="Q26" s="13" t="n">
        <x:v>10628819000</x:v>
      </x:c>
      <x:c r="R26" s="13" t="n">
        <x:v>771505000</x:v>
      </x:c>
      <x:c r="S26" s="13" t="n">
        <x:f>IFERROR((G26+F26)/H26,"")</x:f>
        <x:v>0.05809846823606606</x:v>
      </x:c>
      <x:c r="T26" s="13" t="n">
        <x:f>IFERROR(LN(K26),"")</x:f>
        <x:v>23.89937569567198</x:v>
      </x:c>
      <x:c r="U26" s="13" t="n">
        <x:f>IFERROR(N26/SUMIFS($N$2:$N$99,$E$2:$E$99,$E26),"")</x:f>
        <x:v>0.021792854111136267</x:v>
      </x:c>
      <x:c r="V26" s="13" t="n">
        <x:f>IFERROR(U26^2,"")</x:f>
        <x:v>0.0004749284903092689</x:v>
      </x:c>
      <x:c r="W26" s="13" t="n">
        <x:f>IFERROR(SUMIFS($V$2:$V$99,$E$2:$E$99,$E26),"")</x:f>
        <x:v>0.3404756158039197</x:v>
      </x:c>
      <x:c r="X26" s="13" t="n">
        <x:f>IFERROR(N26/AVERAGE(K26,L26),"")</x:f>
        <x:v>0.522354635206347</x:v>
      </x:c>
      <x:c r="Y26" s="13" t="n">
        <x:f>IFERROR((M26-O26)/K26,"")</x:f>
        <x:v>0.20563001729609046</x:v>
      </x:c>
      <x:c r="Z26" s="13" t="n">
        <x:f>IFERROR(P26/K26,"")</x:f>
        <x:v>0.41452383149107497</x:v>
      </x:c>
      <x:c r="AA26" s="13" t="n">
        <x:f>IFERROR(Q26/K26,"")</x:f>
        <x:v>0.4437292174510581</x:v>
      </x:c>
      <x:c r="AB26" s="13" t="n">
        <x:f>IFERROR(M26/O26,"")</x:f>
        <x:v>1.8382662557878753</x:v>
      </x:c>
      <x:c r="AC26" s="13" t="n">
        <x:f>IFERROR(R26/K26,"")</x:f>
        <x:v>0.032208593439174996</x:v>
      </x:c>
    </x:row>
    <x:row r="27">
      <x:c r="A27" s="13" t="str">
        <x:v>002714.SZ</x:v>
      </x:c>
      <x:c r="B27" s="13" t="str">
        <x:v>牧原股份</x:v>
      </x:c>
      <x:c r="C27" s="13" t="str">
        <x:v>民营企业</x:v>
      </x:c>
      <x:c r="D27" s="13" t="str">
        <x:v>日常消费--食品饮料--食品--食品加工与肉类</x:v>
      </x:c>
      <x:c r="E27" s="13" t="str">
        <x:v>食品饮料</x:v>
      </x:c>
      <x:c r="F27" s="13" t="n">
        <x:v>2556832463.42</x:v>
      </x:c>
      <x:c r="G27" s="13" t="n">
        <x:v>15486891254.04</x:v>
      </x:c>
      <x:c r="H27" s="13" t="n">
        <x:v>171741086702.08</x:v>
      </x:c>
      <x:c r="I27" s="13" t="n">
        <x:v>3177468228.97</x:v>
      </x:c>
      <x:c r="J27" s="13" t="n">
        <x:v>17881260485.27</x:v>
      </x:c>
      <x:c r="K27" s="13" t="n">
        <x:v>187648723830.92</x:v>
      </x:c>
      <x:c r="L27" s="13" t="n">
        <x:v>195404553902.24</x:v>
      </x:c>
      <x:c r="M27" s="13" t="n">
        <x:v>61318601205.85</x:v>
      </x:c>
      <x:c r="N27" s="13" t="n">
        <x:v>137946892076.87</x:v>
      </x:c>
      <x:c r="O27" s="13" t="n">
        <x:v>85476512749.91</x:v>
      </x:c>
      <x:c r="P27" s="13" t="n">
        <x:v>108769563791.64</x:v>
      </x:c>
      <x:c r="Q27" s="13" t="n">
        <x:v>110112494714.77</x:v>
      </x:c>
      <x:c r="R27" s="13" t="n">
        <x:v>12380725812</x:v>
      </x:c>
      <x:c r="S27" s="13" t="n">
        <x:f>IFERROR((G27+F27)/H27,"")</x:f>
        <x:v>0.10506352360958636</x:v>
      </x:c>
      <x:c r="T27" s="13" t="n">
        <x:f>IFERROR(LN(K27),"")</x:f>
        <x:v>25.95783756170986</x:v>
      </x:c>
      <x:c r="U27" s="13" t="n">
        <x:f>IFERROR(N27/SUMIFS($N$2:$N$99,$E$2:$E$99,$E27),"")</x:f>
        <x:v>0.2744001291171768</x:v>
      </x:c>
      <x:c r="V27" s="13" t="n">
        <x:f>IFERROR(U27^2,"")</x:f>
        <x:v>0.07529543085952331</x:v>
      </x:c>
      <x:c r="W27" s="13" t="n">
        <x:f>IFERROR(SUMIFS($V$2:$V$99,$E$2:$E$99,$E27),"")</x:f>
        <x:v>0.21624588016252744</x:v>
      </x:c>
      <x:c r="X27" s="13" t="n">
        <x:f>IFERROR(N27/AVERAGE(K27,L27),"")</x:f>
        <x:v>0.7202491146569205</x:v>
      </x:c>
      <x:c r="Y27" s="13" t="n">
        <x:f>IFERROR((M27-O27)/K27,"")</x:f>
        <x:v>-0.12874007907363855</x:v>
      </x:c>
      <x:c r="Z27" s="13" t="n">
        <x:f>IFERROR(P27/K27,"")</x:f>
        <x:v>0.5796445697634816</x:v>
      </x:c>
      <x:c r="AA27" s="13" t="n">
        <x:f>IFERROR(Q27/K27,"")</x:f>
        <x:v>0.5868011914324892</x:v>
      </x:c>
      <x:c r="AB27" s="13" t="n">
        <x:f>IFERROR(M27/O27,"")</x:f>
        <x:v>0.7173736881996811</x:v>
      </x:c>
      <x:c r="AC27" s="13" t="n">
        <x:f>IFERROR(R27/K27,"")</x:f>
        <x:v>0.0659782041638375</x:v>
      </x:c>
    </x:row>
    <x:row r="28">
      <x:c r="A28" s="13" t="str">
        <x:v>300014.SZ</x:v>
      </x:c>
      <x:c r="B28" s="13" t="str">
        <x:v>亿纬锂能</x:v>
      </x:c>
      <x:c r="C28" s="13" t="str">
        <x:v>民营企业</x:v>
      </x:c>
      <x:c r="D28" s="13" t="str">
        <x:v>工业--电气设备--电气设备Ⅲ--电气部件与设备</x:v>
      </x:c>
      <x:c r="E28" s="13" t="str">
        <x:v>电气设备</x:v>
      </x:c>
      <x:c r="F28" s="13" t="n">
        <x:v>685268055.12</x:v>
      </x:c>
      <x:c r="G28" s="13" t="n">
        <x:v>4134303670.89</x:v>
      </x:c>
      <x:c r="H28" s="13" t="n">
        <x:v>125542296569.58</x:v>
      </x:c>
      <x:c r="I28" s="13" t="n">
        <x:v>635072000</x:v>
      </x:c>
      <x:c r="J28" s="13" t="n">
        <x:v>4075586000</x:v>
      </x:c>
      <x:c r="K28" s="13" t="n">
        <x:v>100890625000</x:v>
      </x:c>
      <x:c r="L28" s="13" t="n">
        <x:v>94355339000</x:v>
      </x:c>
      <x:c r="M28" s="13" t="n">
        <x:v>37984679000</x:v>
      </x:c>
      <x:c r="N28" s="13" t="n">
        <x:v>48614557000</x:v>
      </x:c>
      <x:c r="O28" s="13" t="n">
        <x:v>39794292000</x:v>
      </x:c>
      <x:c r="P28" s="13" t="n">
        <x:v>39213760000</x:v>
      </x:c>
      <x:c r="Q28" s="13" t="n">
        <x:v>59891438000</x:v>
      </x:c>
      <x:c r="R28" s="13" t="n">
        <x:v>5545325000</x:v>
      </x:c>
      <x:c r="S28" s="13" t="n">
        <x:f>IFERROR((G28+F28)/H28,"")</x:f>
        <x:v>0.038390023583317376</x:v>
      </x:c>
      <x:c r="T28" s="13" t="n">
        <x:f>IFERROR(LN(K28),"")</x:f>
        <x:v>25.337302846213205</x:v>
      </x:c>
      <x:c r="U28" s="13" t="n">
        <x:f>IFERROR(N28/SUMIFS($N$2:$N$99,$E$2:$E$99,$E28),"")</x:f>
        <x:v>0.04321653590735369</x:v>
      </x:c>
      <x:c r="V28" s="13" t="n">
        <x:f>IFERROR(U28^2,"")</x:f>
        <x:v>0.001867668975831591</x:v>
      </x:c>
      <x:c r="W28" s="13" t="n">
        <x:f>IFERROR(SUMIFS($V$2:$V$99,$E$2:$E$99,$E28),"")</x:f>
        <x:v>0.14616578354193543</x:v>
      </x:c>
      <x:c r="X28" s="13" t="n">
        <x:f>IFERROR(N28/AVERAGE(K28,L28),"")</x:f>
        <x:v>0.49798270862080407</x:v>
      </x:c>
      <x:c r="Y28" s="13" t="n">
        <x:f>IFERROR((M28-O28)/K28,"")</x:f>
        <x:v>-0.01793638407929379</x:v>
      </x:c>
      <x:c r="Z28" s="13" t="n">
        <x:f>IFERROR(P28/K28,"")</x:f>
        <x:v>0.38867595477776057</x:v>
      </x:c>
      <x:c r="AA28" s="13" t="n">
        <x:f>IFERROR(Q28/K28,"")</x:f>
        <x:v>0.5936273860926127</x:v>
      </x:c>
      <x:c r="AB28" s="13" t="n">
        <x:f>IFERROR(M28/O28,"")</x:f>
        <x:v>0.9545258149083291</x:v>
      </x:c>
      <x:c r="AC28" s="13" t="n">
        <x:f>IFERROR(R28/K28,"")</x:f>
        <x:v>0.054963729286046155</x:v>
      </x:c>
    </x:row>
    <x:row r="29">
      <x:c r="A29" s="13" t="str">
        <x:v>300015.SZ</x:v>
      </x:c>
      <x:c r="B29" s="13" t="str">
        <x:v>爱尔眼科</x:v>
      </x:c>
      <x:c r="C29" s="13" t="str">
        <x:v>民营企业</x:v>
      </x:c>
      <x:c r="D29" s="13" t="str">
        <x:v>医疗保健--医疗设备与服务--医疗保健提供商与服务--保健护理设施</x:v>
      </x:c>
      <x:c r="E29" s="13" t="str">
        <x:v>医疗设备与服务</x:v>
      </x:c>
      <x:c r="F29" s="13" t="n">
        <x:v>269717000</x:v>
      </x:c>
      <x:c r="G29" s="13" t="n">
        <x:v>3240259000</x:v>
      </x:c>
      <x:c r="H29" s="13" t="n">
        <x:v>36675990000</x:v>
      </x:c>
      <x:c r="I29" s="13" t="n">
        <x:v>255561000</x:v>
      </x:c>
      <x:c r="J29" s="13" t="n">
        <x:v>3556056000</x:v>
      </x:c>
      <x:c r="K29" s="13" t="n">
        <x:v>33255307000</x:v>
      </x:c>
      <x:c r="L29" s="13" t="n">
        <x:v>30186619000</x:v>
      </x:c>
      <x:c r="M29" s="13" t="n">
        <x:v>9666105000</x:v>
      </x:c>
      <x:c r="N29" s="13" t="n">
        <x:v>20982894000</x:v>
      </x:c>
      <x:c r="O29" s="13" t="n">
        <x:v>6664625000</x:v>
      </x:c>
      <x:c r="P29" s="13" t="n">
        <x:v>7604658000</x:v>
      </x:c>
      <x:c r="Q29" s="13" t="n">
        <x:v>11443294000</x:v>
      </x:c>
      <x:c r="R29" s="13" t="n">
        <x:v>1830098000</x:v>
      </x:c>
      <x:c r="S29" s="13" t="n">
        <x:f>IFERROR((G29+F29)/H29,"")</x:f>
        <x:v>0.09570228370113526</x:v>
      </x:c>
      <x:c r="T29" s="13" t="n">
        <x:f>IFERROR(LN(K29),"")</x:f>
        <x:v>24.227480200334664</x:v>
      </x:c>
      <x:c r="U29" s="13" t="n">
        <x:f>IFERROR(N29/SUMIFS($N$2:$N$99,$E$2:$E$99,$E29),"")</x:f>
        <x:v>0.18385655838902595</x:v>
      </x:c>
      <x:c r="V29" s="13" t="n">
        <x:f>IFERROR(U29^2,"")</x:f>
        <x:v>0.03380323406265731</x:v>
      </x:c>
      <x:c r="W29" s="13" t="n">
        <x:f>IFERROR(SUMIFS($V$2:$V$99,$E$2:$E$99,$E29),"")</x:f>
        <x:v>0.28019975017592524</x:v>
      </x:c>
      <x:c r="X29" s="13" t="n">
        <x:f>IFERROR(N29/AVERAGE(K29,L29),"")</x:f>
        <x:v>0.6614835117080147</x:v>
      </x:c>
      <x:c r="Y29" s="13" t="n">
        <x:f>IFERROR((M29-O29)/K29,"")</x:f>
        <x:v>0.09025566956876988</x:v>
      </x:c>
      <x:c r="Z29" s="13" t="n">
        <x:f>IFERROR(P29/K29,"")</x:f>
        <x:v>0.2286750202005352</x:v>
      </x:c>
      <x:c r="AA29" s="13" t="n">
        <x:f>IFERROR(Q29/K29,"")</x:f>
        <x:v>0.3441042958947876</x:v>
      </x:c>
      <x:c r="AB29" s="13" t="n">
        <x:f>IFERROR(M29/O29,"")</x:f>
        <x:v>1.4503599227263348</x:v>
      </x:c>
      <x:c r="AC29" s="13" t="n">
        <x:f>IFERROR(R29/K29,"")</x:f>
        <x:v>0.055031757788313304</x:v>
      </x:c>
    </x:row>
    <x:row r="30">
      <x:c r="A30" s="13" t="str">
        <x:v>300033.SZ</x:v>
      </x:c>
      <x:c r="B30" s="13" t="str">
        <x:v>同花顺</x:v>
      </x:c>
      <x:c r="C30" s="13" t="str">
        <x:v>民营企业</x:v>
      </x:c>
      <x:c r="D30" s="13" t="str">
        <x:v>信息技术--软件服务--软件--应用软件</x:v>
      </x:c>
      <x:c r="E30" s="13" t="str">
        <x:v>软件服务</x:v>
      </x:c>
      <x:c r="F30" s="13" t="n">
        <x:v>-124843719.94</x:v>
      </x:c>
      <x:c r="G30" s="13" t="n">
        <x:v>3205082002.69</x:v>
      </x:c>
      <x:c r="H30" s="13" t="n">
        <x:v>15832994333.52</x:v>
      </x:c>
      <x:c r="I30" s="13" t="n">
        <x:v>-205924675.68</x:v>
      </x:c>
      <x:c r="J30" s="13" t="n">
        <x:v>1823266690.03</x:v>
      </x:c>
      <x:c r="K30" s="13" t="n">
        <x:v>10976501567.53</x:v>
      </x:c>
      <x:c r="L30" s="13" t="n">
        <x:v>9844860690.35</x:v>
      </x:c>
      <x:c r="M30" s="13" t="n">
        <x:v>9371557147.16</x:v>
      </x:c>
      <x:c r="N30" s="13" t="n">
        <x:v>4112650119.75</x:v>
      </x:c>
      <x:c r="O30" s="13" t="n">
        <x:v>2886162232.42</x:v>
      </x:c>
      <x:c r="P30" s="13" t="n">
        <x:v>1258021817.51</x:v>
      </x:c>
      <x:c r="Q30" s="13" t="n">
        <x:v>3002176417.23</x:v>
      </x:c>
      <x:c r="R30" s="13" t="n">
        <x:v>103677532.32</x:v>
      </x:c>
      <x:c r="S30" s="13" t="n">
        <x:f>IFERROR((G30+F30)/H30,"")</x:f>
        <x:v>0.19454553054622356</x:v>
      </x:c>
      <x:c r="T30" s="13" t="n">
        <x:f>IFERROR(LN(K30),"")</x:f>
        <x:v>23.119022603636058</x:v>
      </x:c>
      <x:c r="U30" s="13" t="n">
        <x:f>IFERROR(N30/SUMIFS($N$2:$N$99,$E$2:$E$99,$E30),"")</x:f>
        <x:v>0.04796708242693711</x:v>
      </x:c>
      <x:c r="V30" s="13" t="n">
        <x:f>IFERROR(U30^2,"")</x:f>
        <x:v>0.002300840996552579</x:v>
      </x:c>
      <x:c r="W30" s="13" t="n">
        <x:f>IFERROR(SUMIFS($V$2:$V$99,$E$2:$E$99,$E30),"")</x:f>
        <x:v>0.23288063539086398</x:v>
      </x:c>
      <x:c r="X30" s="13" t="n">
        <x:f>IFERROR(N30/AVERAGE(K30,L30),"")</x:f>
        <x:v>0.39504140687946937</x:v>
      </x:c>
      <x:c r="Y30" s="13" t="n">
        <x:f>IFERROR((M30-O30)/K30,"")</x:f>
        <x:v>0.5908435283173182</x:v>
      </x:c>
      <x:c r="Z30" s="13" t="n">
        <x:f>IFERROR(P30/K30,"")</x:f>
        <x:v>0.11461045304556794</x:v>
      </x:c>
      <x:c r="AA30" s="13" t="n">
        <x:f>IFERROR(Q30/K30,"")</x:f>
        <x:v>0.2735094054111786</x:v>
      </x:c>
      <x:c r="AB30" s="13" t="n">
        <x:f>IFERROR(M30/O30,"")</x:f>
        <x:v>3.2470652695438056</x:v>
      </x:c>
      <x:c r="AC30" s="13" t="n">
        <x:f>IFERROR(R30/K30,"")</x:f>
        <x:v>0.009445407690433205</x:v>
      </x:c>
    </x:row>
    <x:row r="31">
      <x:c r="A31" s="13" t="str">
        <x:v>300122.SZ</x:v>
      </x:c>
      <x:c r="B31" s="13" t="str">
        <x:v>智飞生物</x:v>
      </x:c>
      <x:c r="C31" s="13" t="str">
        <x:v>民营企业</x:v>
      </x:c>
      <x:c r="D31" s="13" t="str">
        <x:v>医疗保健--医药生物--生物科技Ⅲ--生物科技Ⅳ</x:v>
      </x:c>
      <x:c r="E31" s="13" t="str">
        <x:v>医药生物</x:v>
      </x:c>
      <x:c r="F31" s="13" t="n">
        <x:v>301755089.99</x:v>
      </x:c>
      <x:c r="G31" s="13" t="n">
        <x:v>-14723152851.99</x:v>
      </x:c>
      <x:c r="H31" s="13" t="n">
        <x:v>31719717303.13</x:v>
      </x:c>
      <x:c r="I31" s="13" t="n">
        <x:v>109338094.53</x:v>
      </x:c>
      <x:c r="J31" s="13" t="n">
        <x:v>2018478513.91</x:v>
      </x:c>
      <x:c r="K31" s="13" t="n">
        <x:v>49909613835.4</x:v>
      </x:c>
      <x:c r="L31" s="13" t="n">
        <x:v>50232190314.35</x:v>
      </x:c>
      <x:c r="M31" s="13" t="n">
        <x:v>41292988542.93</x:v>
      </x:c>
      <x:c r="N31" s="13" t="n">
        <x:v>25934263400.41</x:v>
      </x:c>
      <x:c r="O31" s="13" t="n">
        <x:v>18441126104.37</x:v>
      </x:c>
      <x:c r="P31" s="13" t="n">
        <x:v>5343724415.02</x:v>
      </x:c>
      <x:c r="Q31" s="13" t="n">
        <x:v>19078874427.3</x:v>
      </x:c>
      <x:c r="R31" s="13" t="n">
        <x:v>930343067.65</x:v>
      </x:c>
      <x:c r="S31" s="13" t="n">
        <x:f>IFERROR((G31+F31)/H31,"")</x:f>
        <x:v>-0.4546508918784387</x:v>
      </x:c>
      <x:c r="T31" s="13" t="n">
        <x:f>IFERROR(LN(K31),"")</x:f>
        <x:v>24.633479483179002</x:v>
      </x:c>
      <x:c r="U31" s="13" t="n">
        <x:f>IFERROR(N31/SUMIFS($N$2:$N$99,$E$2:$E$99,$E31),"")</x:f>
        <x:v>0.1253510245640723</x:v>
      </x:c>
      <x:c r="V31" s="13" t="n">
        <x:f>IFERROR(U31^2,"")</x:f>
        <x:v>0.015712879359262657</x:v>
      </x:c>
      <x:c r="W31" s="13" t="n">
        <x:f>IFERROR(SUMIFS($V$2:$V$99,$E$2:$E$99,$E31),"")</x:f>
        <x:v>0.13623235092080122</x:v>
      </x:c>
      <x:c r="X31" s="13" t="n">
        <x:f>IFERROR(N31/AVERAGE(K31,L31),"")</x:f>
        <x:v>0.5179507922910682</x:v>
      </x:c>
      <x:c r="Y31" s="13" t="n">
        <x:f>IFERROR((M31-O31)/K31,"")</x:f>
        <x:v>0.45786494189124705</x:v>
      </x:c>
      <x:c r="Z31" s="13" t="n">
        <x:f>IFERROR(P31/K31,"")</x:f>
        <x:v>0.10706803768595363</x:v>
      </x:c>
      <x:c r="AA31" s="13" t="n">
        <x:f>IFERROR(Q31/K31,"")</x:f>
        <x:v>0.38226852426110525</x:v>
      </x:c>
      <x:c r="AB31" s="13" t="n">
        <x:f>IFERROR(M31/O31,"")</x:f>
        <x:v>2.239179338031032</x:v>
      </x:c>
      <x:c r="AC31" s="13" t="n">
        <x:f>IFERROR(R31/K31,"")</x:f>
        <x:v>0.018640558324459006</x:v>
      </x:c>
    </x:row>
    <x:row r="32">
      <x:c r="A32" s="13" t="str">
        <x:v>300124.SZ</x:v>
      </x:c>
      <x:c r="B32" s="13" t="str">
        <x:v>汇川技术</x:v>
      </x:c>
      <x:c r="C32" s="13" t="str">
        <x:v>民营企业</x:v>
      </x:c>
      <x:c r="D32" s="13" t="str">
        <x:v>工业--电气设备--电气设备Ⅲ--电气部件与设备</x:v>
      </x:c>
      <x:c r="E32" s="13" t="str">
        <x:v>电气设备</x:v>
      </x:c>
      <x:c r="F32" s="13" t="n">
        <x:v>170396000</x:v>
      </x:c>
      <x:c r="G32" s="13" t="n">
        <x:v>5050002000</x:v>
      </x:c>
      <x:c r="H32" s="13" t="n">
        <x:v>71314394000</x:v>
      </x:c>
      <x:c r="I32" s="13" t="n">
        <x:v>161645000</x:v>
      </x:c>
      <x:c r="J32" s="13" t="n">
        <x:v>4285493000</x:v>
      </x:c>
      <x:c r="K32" s="13" t="n">
        <x:v>57178824000</x:v>
      </x:c>
      <x:c r="L32" s="13" t="n">
        <x:v>48957564000</x:v>
      </x:c>
      <x:c r="M32" s="13" t="n">
        <x:v>30450686000</x:v>
      </x:c>
      <x:c r="N32" s="13" t="n">
        <x:v>37013308000</x:v>
      </x:c>
      <x:c r="O32" s="13" t="n">
        <x:v>23373963000</x:v>
      </x:c>
      <x:c r="P32" s="13" t="n">
        <x:v>8290974000</x:v>
      </x:c>
      <x:c r="Q32" s="13" t="n">
        <x:v>28749694000</x:v>
      </x:c>
      <x:c r="R32" s="13" t="n">
        <x:v>2112249000</x:v>
      </x:c>
      <x:c r="S32" s="13" t="n">
        <x:f>IFERROR((G32+F32)/H32,"")</x:f>
        <x:v>0.07320258516113871</x:v>
      </x:c>
      <x:c r="T32" s="13" t="n">
        <x:f>IFERROR(LN(K32),"")</x:f>
        <x:v>24.769449456997393</x:v>
      </x:c>
      <x:c r="U32" s="13" t="n">
        <x:f>IFERROR(N32/SUMIFS($N$2:$N$99,$E$2:$E$99,$E32),"")</x:f>
        <x:v>0.03290345635016157</x:v>
      </x:c>
      <x:c r="V32" s="13" t="n">
        <x:f>IFERROR(U32^2,"")</x:f>
        <x:v>0.0010826374397869879</x:v>
      </x:c>
      <x:c r="W32" s="13" t="n">
        <x:f>IFERROR(SUMIFS($V$2:$V$99,$E$2:$E$99,$E32),"")</x:f>
        <x:v>0.14616578354193543</x:v>
      </x:c>
      <x:c r="X32" s="13" t="n">
        <x:f>IFERROR(N32/AVERAGE(K32,L32),"")</x:f>
        <x:v>0.6974668857206635</x:v>
      </x:c>
      <x:c r="Y32" s="13" t="n">
        <x:f>IFERROR((M32-O32)/K32,"")</x:f>
        <x:v>0.12376475248948807</x:v>
      </x:c>
      <x:c r="Z32" s="13" t="n">
        <x:f>IFERROR(P32/K32,"")</x:f>
        <x:v>0.14500077860992733</x:v>
      </x:c>
      <x:c r="AA32" s="13" t="n">
        <x:f>IFERROR(Q32/K32,"")</x:f>
        <x:v>0.5028031706283431</x:v>
      </x:c>
      <x:c r="AB32" s="13" t="n">
        <x:f>IFERROR(M32/O32,"")</x:f>
        <x:v>1.3027609395976198</x:v>
      </x:c>
      <x:c r="AC32" s="13" t="n">
        <x:f>IFERROR(R32/K32,"")</x:f>
        <x:v>0.0369411060290432</x:v>
      </x:c>
    </x:row>
    <x:row r="33">
      <x:c r="A33" s="13" t="str">
        <x:v>300251.SZ</x:v>
      </x:c>
      <x:c r="B33" s="13" t="str">
        <x:v>光线传媒</x:v>
      </x:c>
      <x:c r="C33" s="13" t="str">
        <x:v>民营企业</x:v>
      </x:c>
      <x:c r="D33" s="13" t="str">
        <x:v>通讯服务--传媒--娱乐--电影和娱乐</x:v>
      </x:c>
      <x:c r="E33" s="13" t="str">
        <x:v>传媒</x:v>
      </x:c>
      <x:c r="F33" s="13" t="n">
        <x:v>-26019219.23</x:v>
      </x:c>
      <x:c r="G33" s="13" t="n">
        <x:v>1672149337.87</x:v>
      </x:c>
      <x:c r="H33" s="13" t="n">
        <x:v>10978138453.87</x:v>
      </x:c>
      <x:c r="I33" s="13" t="n">
        <x:v>-27363033.16</x:v>
      </x:c>
      <x:c r="J33" s="13" t="n">
        <x:v>292015861.99</x:v>
      </x:c>
      <x:c r="K33" s="13" t="n">
        <x:v>9730530127.81</x:v>
      </x:c>
      <x:c r="L33" s="13" t="n">
        <x:v>9932219881.11</x:v>
      </x:c>
      <x:c r="M33" s="13" t="n">
        <x:v>4540662406.67</x:v>
      </x:c>
      <x:c r="N33" s="13" t="n">
        <x:v>1582910155.89</x:v>
      </x:c>
      <x:c r="O33" s="13" t="n">
        <x:v>788610375.98</x:v>
      </x:c>
      <x:c r="P33" s="13" t="n">
        <x:v>24575851.94</x:v>
      </x:c>
      <x:c r="Q33" s="13" t="n">
        <x:v>956603866.21</x:v>
      </x:c>
      <x:c r="R33" s="13" t="n">
        <x:v>7866217.51</x:v>
      </x:c>
      <x:c r="S33" s="13" t="n">
        <x:f>IFERROR((G33+F33)/H33,"")</x:f>
        <x:v>0.1499461976688505</x:v>
      </x:c>
      <x:c r="T33" s="13" t="n">
        <x:f>IFERROR(LN(K33),"")</x:f>
        <x:v>22.998534215504943</x:v>
      </x:c>
      <x:c r="U33" s="13" t="n">
        <x:f>IFERROR(N33/SUMIFS($N$2:$N$99,$E$2:$E$99,$E33),"")</x:f>
        <x:v>0.21859274792079125</x:v>
      </x:c>
      <x:c r="V33" s="13" t="n">
        <x:f>IFERROR(U33^2,"")</x:f>
        <x:v>0.04778278944356259</x:v>
      </x:c>
      <x:c r="W33" s="13" t="n">
        <x:f>IFERROR(SUMIFS($V$2:$V$99,$E$2:$E$99,$E33),"")</x:f>
        <x:v>0.6583800830455426</x:v>
      </x:c>
      <x:c r="X33" s="13" t="n">
        <x:f>IFERROR(N33/AVERAGE(K33,L33),"")</x:f>
        <x:v>0.16100597883530163</x:v>
      </x:c>
      <x:c r="Y33" s="13" t="n">
        <x:f>IFERROR((M33-O33)/K33,"")</x:f>
        <x:v>0.38559584949709774</x:v>
      </x:c>
      <x:c r="Z33" s="13" t="n">
        <x:f>IFERROR(P33/K33,"")</x:f>
        <x:v>0.0025256436820191176</x:v>
      </x:c>
      <x:c r="AA33" s="13" t="n">
        <x:f>IFERROR(Q33/K33,"")</x:f>
        <x:v>0.09830953233226337</x:v>
      </x:c>
      <x:c r="AB33" s="13" t="n">
        <x:f>IFERROR(M33/O33,"")</x:f>
        <x:v>5.757802008409228</x:v>
      </x:c>
      <x:c r="AC33" s="13" t="n">
        <x:f>IFERROR(R33/K33,"")</x:f>
        <x:v>0.0008084058531937776</x:v>
      </x:c>
    </x:row>
    <x:row r="34">
      <x:c r="A34" s="13" t="str">
        <x:v>300274.SZ</x:v>
      </x:c>
      <x:c r="B34" s="13" t="str">
        <x:v>阳光电源</x:v>
      </x:c>
      <x:c r="C34" s="13" t="str">
        <x:v>民营企业</x:v>
      </x:c>
      <x:c r="D34" s="13" t="str">
        <x:v>工业--电气设备--电气设备Ⅲ--光伏设备</x:v>
      </x:c>
      <x:c r="E34" s="13" t="str">
        <x:v>电气设备</x:v>
      </x:c>
      <x:c r="F34" s="13" t="n">
        <x:v>346954000</x:v>
      </x:c>
      <x:c r="G34" s="13" t="n">
        <x:v>13461280000</x:v>
      </x:c>
      <x:c r="H34" s="13" t="n">
        <x:v>118679392000</x:v>
      </x:c>
      <x:c r="I34" s="13" t="n">
        <x:v>391866000</x:v>
      </x:c>
      <x:c r="J34" s="13" t="n">
        <x:v>11036279000</x:v>
      </x:c>
      <x:c r="K34" s="13" t="n">
        <x:v>115073771000</x:v>
      </x:c>
      <x:c r="L34" s="13" t="n">
        <x:v>82876505000</x:v>
      </x:c>
      <x:c r="M34" s="13" t="n">
        <x:v>95148599000</x:v>
      </x:c>
      <x:c r="N34" s="13" t="n">
        <x:v>77704134000</x:v>
      </x:c>
      <x:c r="O34" s="13" t="n">
        <x:v>60297878000</x:v>
      </x:c>
      <x:c r="P34" s="13" t="n">
        <x:v>11246545000</x:v>
      </x:c>
      <x:c r="Q34" s="13" t="n">
        <x:v>74875023000</x:v>
      </x:c>
      <x:c r="R34" s="13" t="n">
        <x:v>2785953000</x:v>
      </x:c>
      <x:c r="S34" s="13" t="n">
        <x:f>IFERROR((G34+F34)/H34,"")</x:f>
        <x:v>0.11634904567087773</x:v>
      </x:c>
      <x:c r="T34" s="13" t="n">
        <x:f>IFERROR(LN(K34),"")</x:f>
        <x:v>25.468839246601373</x:v>
      </x:c>
      <x:c r="U34" s="13" t="n">
        <x:f>IFERROR(N34/SUMIFS($N$2:$N$99,$E$2:$E$99,$E34),"")</x:f>
        <x:v>0.06907608964041004</x:v>
      </x:c>
      <x:c r="V34" s="13" t="n">
        <x:f>IFERROR(U34^2,"")</x:f>
        <x:v>0.004771506160009963</x:v>
      </x:c>
      <x:c r="W34" s="13" t="n">
        <x:f>IFERROR(SUMIFS($V$2:$V$99,$E$2:$E$99,$E34),"")</x:f>
        <x:v>0.14616578354193543</x:v>
      </x:c>
      <x:c r="X34" s="13" t="n">
        <x:f>IFERROR(N34/AVERAGE(K34,L34),"")</x:f>
        <x:v>0.7850874024545437</x:v>
      </x:c>
      <x:c r="Y34" s="13" t="n">
        <x:f>IFERROR((M34-O34)/K34,"")</x:f>
        <x:v>0.30285546999237556</x:v>
      </x:c>
      <x:c r="Z34" s="13" t="n">
        <x:f>IFERROR(P34/K34,"")</x:f>
        <x:v>0.09773334880978221</x:v>
      </x:c>
      <x:c r="AA34" s="13" t="n">
        <x:f>IFERROR(Q34/K34,"")</x:f>
        <x:v>0.6506697603574667</x:v>
      </x:c>
      <x:c r="AB34" s="13" t="n">
        <x:f>IFERROR(M34/O34,"")</x:f>
        <x:v>1.5779759115237852</x:v>
      </x:c>
      <x:c r="AC34" s="13" t="n">
        <x:f>IFERROR(R34/K34,"")</x:f>
        <x:v>0.02421014776686166</x:v>
      </x:c>
    </x:row>
    <x:row r="35">
      <x:c r="A35" s="13" t="str">
        <x:v>300308.SZ</x:v>
      </x:c>
      <x:c r="B35" s="13" t="str">
        <x:v>中际旭创</x:v>
      </x:c>
      <x:c r="C35" s="13" t="str">
        <x:v>民营企业</x:v>
      </x:c>
      <x:c r="D35" s="13" t="str">
        <x:v>信息技术--硬件设备--通信设备Ⅲ--通信设备Ⅳ</x:v>
      </x:c>
      <x:c r="E35" s="13" t="str">
        <x:v>硬件设备</x:v>
      </x:c>
      <x:c r="F35" s="13" t="n">
        <x:v>182798156.36</x:v>
      </x:c>
      <x:c r="G35" s="13" t="n">
        <x:v>10797254300.45</x:v>
      </x:c>
      <x:c r="H35" s="13" t="n">
        <x:v>45288970887.78</x:v>
      </x:c>
      <x:c r="I35" s="13" t="n">
        <x:v>-144431151.9</x:v>
      </x:c>
      <x:c r="J35" s="13" t="n">
        <x:v>5171485967.85</x:v>
      </x:c>
      <x:c r="K35" s="13" t="n">
        <x:v>28866276555.26</x:v>
      </x:c>
      <x:c r="L35" s="13" t="n">
        <x:v>20006747461.32</x:v>
      </x:c>
      <x:c r="M35" s="13" t="n">
        <x:v>18195744299.84</x:v>
      </x:c>
      <x:c r="N35" s="13" t="n">
        <x:v>23815251344</x:v>
      </x:c>
      <x:c r="O35" s="13" t="n">
        <x:v>6497384821.08</x:v>
      </x:c>
      <x:c r="P35" s="13" t="n">
        <x:v>5872418795.9</x:v>
      </x:c>
      <x:c r="Q35" s="13" t="n">
        <x:v>8573435376.03</x:v>
      </x:c>
      <x:c r="R35" s="13" t="n">
        <x:v>2866157321.96</x:v>
      </x:c>
      <x:c r="S35" s="13" t="n">
        <x:f>IFERROR((G35+F35)/H35,"")</x:f>
        <x:v>0.2424442914372486</x:v>
      </x:c>
      <x:c r="T35" s="13" t="n">
        <x:f>IFERROR(LN(K35),"")</x:f>
        <x:v>24.085939849503408</x:v>
      </x:c>
      <x:c r="U35" s="13" t="n">
        <x:f>IFERROR(N35/SUMIFS($N$2:$N$99,$E$2:$E$99,$E35),"")</x:f>
        <x:v>0.04828345891002559</x:v>
      </x:c>
      <x:c r="V35" s="13" t="n">
        <x:f>IFERROR(U35^2,"")</x:f>
        <x:v>0.0023312924043161296</x:v>
      </x:c>
      <x:c r="W35" s="13" t="n">
        <x:f>IFERROR(SUMIFS($V$2:$V$99,$E$2:$E$99,$E35),"")</x:f>
        <x:v>0.12235054081259594</x:v>
      </x:c>
      <x:c r="X35" s="13" t="n">
        <x:f>IFERROR(N35/AVERAGE(K35,L35),"")</x:f>
        <x:v>0.9745765408713306</x:v>
      </x:c>
      <x:c r="Y35" s="13" t="n">
        <x:f>IFERROR((M35-O35)/K35,"")</x:f>
        <x:v>0.40526042409263663</x:v>
      </x:c>
      <x:c r="Z35" s="13" t="n">
        <x:f>IFERROR(P35/K35,"")</x:f>
        <x:v>0.20343527107343293</x:v>
      </x:c>
      <x:c r="AA35" s="13" t="n">
        <x:f>IFERROR(Q35/K35,"")</x:f>
        <x:v>0.2970052393012133</x:v>
      </x:c>
      <x:c r="AB35" s="13" t="n">
        <x:f>IFERROR(M35/O35,"")</x:f>
        <x:v>2.8004720054145555</x:v>
      </x:c>
      <x:c r="AC35" s="13" t="n">
        <x:f>IFERROR(R35/K35,"")</x:f>
        <x:v>0.09929085645920378</x:v>
      </x:c>
    </x:row>
    <x:row r="36">
      <x:c r="A36" s="13" t="str">
        <x:v>300316.SZ</x:v>
      </x:c>
      <x:c r="B36" s="13" t="str">
        <x:v>晶盛机电</x:v>
      </x:c>
      <x:c r="C36" s="13" t="str">
        <x:v>民营企业</x:v>
      </x:c>
      <x:c r="D36" s="13" t="str">
        <x:v>工业--电气设备--电气设备Ⅲ--光伏设备</x:v>
      </x:c>
      <x:c r="E36" s="13" t="str">
        <x:v>电气设备</x:v>
      </x:c>
      <x:c r="F36" s="13" t="n">
        <x:v>53174919.9</x:v>
      </x:c>
      <x:c r="G36" s="13" t="n">
        <x:v>884734667.29</x:v>
      </x:c>
      <x:c r="H36" s="13" t="n">
        <x:v>27756229482.77</x:v>
      </x:c>
      <x:c r="I36" s="13" t="n">
        <x:v>9769220.7</x:v>
      </x:c>
      <x:c r="J36" s="13" t="n">
        <x:v>2509729984.52</x:v>
      </x:c>
      <x:c r="K36" s="13" t="n">
        <x:v>31550179908.08</x:v>
      </x:c>
      <x:c r="L36" s="13" t="n">
        <x:v>36808359204.06</x:v>
      </x:c>
      <x:c r="M36" s="13" t="n">
        <x:v>21142612098.06</x:v>
      </x:c>
      <x:c r="N36" s="13" t="n">
        <x:v>17491827211.85</x:v>
      </x:c>
      <x:c r="O36" s="13" t="n">
        <x:v>12126272372.47</x:v>
      </x:c>
      <x:c r="P36" s="13" t="n">
        <x:v>7076718118.96</x:v>
      </x:c>
      <x:c r="Q36" s="13" t="n">
        <x:v>13616061843.68</x:v>
      </x:c>
      <x:c r="R36" s="13" t="n">
        <x:v>1645300520.43</x:v>
      </x:c>
      <x:c r="S36" s="13" t="n">
        <x:f>IFERROR((G36+F36)/H36,"")</x:f>
        <x:v>0.03379095809004671</x:v>
      </x:c>
      <x:c r="T36" s="13" t="n">
        <x:f>IFERROR(LN(K36),"")</x:f>
        <x:v>24.1748451282337</x:v>
      </x:c>
      <x:c r="U36" s="13" t="n">
        <x:f>IFERROR(N36/SUMIFS($N$2:$N$99,$E$2:$E$99,$E36),"")</x:f>
        <x:v>0.01554958484525822</x:v>
      </x:c>
      <x:c r="V36" s="13" t="n">
        <x:f>IFERROR(U36^2,"")</x:f>
        <x:v>0.00024178958885988407</x:v>
      </x:c>
      <x:c r="W36" s="13" t="n">
        <x:f>IFERROR(SUMIFS($V$2:$V$99,$E$2:$E$99,$E36),"")</x:f>
        <x:v>0.14616578354193543</x:v>
      </x:c>
      <x:c r="X36" s="13" t="n">
        <x:f>IFERROR(N36/AVERAGE(K36,L36),"")</x:f>
        <x:v>0.5117671453790203</x:v>
      </x:c>
      <x:c r="Y36" s="13" t="n">
        <x:f>IFERROR((M36-O36)/K36,"")</x:f>
        <x:v>0.285777759488494</x:v>
      </x:c>
      <x:c r="Z36" s="13" t="n">
        <x:f>IFERROR(P36/K36,"")</x:f>
        <x:v>0.22430040461188155</x:v>
      </x:c>
      <x:c r="AA36" s="13" t="n">
        <x:f>IFERROR(Q36/K36,"")</x:f>
        <x:v>0.43156843743363016</x:v>
      </x:c>
      <x:c r="AB36" s="13" t="n">
        <x:f>IFERROR(M36/O36,"")</x:f>
        <x:v>1.743537622168177</x:v>
      </x:c>
      <x:c r="AC36" s="13" t="n">
        <x:f>IFERROR(R36/K36,"")</x:f>
        <x:v>0.05214868901614848</x:v>
      </x:c>
    </x:row>
    <x:row r="37">
      <x:c r="A37" s="13" t="str">
        <x:v>300347.SZ</x:v>
      </x:c>
      <x:c r="B37" s="13" t="str">
        <x:v>泰格医药</x:v>
      </x:c>
      <x:c r="C37" s="13" t="str">
        <x:v>民营企业</x:v>
      </x:c>
      <x:c r="D37" s="13" t="str">
        <x:v>医疗保健--医药生物--生命科学工具和服务Ⅲ--生命科学工具和服务Ⅳ</x:v>
      </x:c>
      <x:c r="E37" s="13" t="str">
        <x:v>医药生物</x:v>
      </x:c>
      <x:c r="F37" s="13" t="n">
        <x:v>90559390.82</x:v>
      </x:c>
      <x:c r="G37" s="13" t="n">
        <x:v>887890076.31</x:v>
      </x:c>
      <x:c r="H37" s="13" t="n">
        <x:v>28358795158.17</x:v>
      </x:c>
      <x:c r="I37" s="13" t="n">
        <x:v>141235382.04</x:v>
      </x:c>
      <x:c r="J37" s="13" t="n">
        <x:v>405143491.82</x:v>
      </x:c>
      <x:c r="K37" s="13" t="n">
        <x:v>28671015787.16</x:v>
      </x:c>
      <x:c r="L37" s="13" t="n">
        <x:v>29680743000</x:v>
      </x:c>
      <x:c r="M37" s="13" t="n">
        <x:v>6299685225.86</x:v>
      </x:c>
      <x:c r="N37" s="13" t="n">
        <x:v>6603120162.78</x:v>
      </x:c>
      <x:c r="O37" s="13" t="n">
        <x:v>3661852465.12</x:v>
      </x:c>
      <x:c r="P37" s="13" t="n">
        <x:v>1199033750.61</x:v>
      </x:c>
      <x:c r="Q37" s="13" t="n">
        <x:v>4606536600.57</x:v>
      </x:c>
      <x:c r="R37" s="13" t="n">
        <x:v>356554496.96</x:v>
      </x:c>
      <x:c r="S37" s="13" t="n">
        <x:f>IFERROR((G37+F37)/H37,"")</x:f>
        <x:v>0.034502504837484765</x:v>
      </x:c>
      <x:c r="T37" s="13" t="n">
        <x:f>IFERROR(LN(K37),"")</x:f>
        <x:v>24.07915254653006</x:v>
      </x:c>
      <x:c r="U37" s="13" t="n">
        <x:f>IFERROR(N37/SUMIFS($N$2:$N$99,$E$2:$E$99,$E37),"")</x:f>
        <x:v>0.031915611596320545</x:v>
      </x:c>
      <x:c r="V37" s="13" t="n">
        <x:f>IFERROR(U37^2,"")</x:f>
        <x:v>0.0010186062635671905</x:v>
      </x:c>
      <x:c r="W37" s="13" t="n">
        <x:f>IFERROR(SUMIFS($V$2:$V$99,$E$2:$E$99,$E37),"")</x:f>
        <x:v>0.13623235092080122</x:v>
      </x:c>
      <x:c r="X37" s="13" t="n">
        <x:f>IFERROR(N37/AVERAGE(K37,L37),"")</x:f>
        <x:v>0.22632120436558226</x:v>
      </x:c>
      <x:c r="Y37" s="13" t="n">
        <x:f>IFERROR((M37-O37)/K37,"")</x:f>
        <x:v>0.09200346371827273</x:v>
      </x:c>
      <x:c r="Z37" s="13" t="n">
        <x:f>IFERROR(P37/K37,"")</x:f>
        <x:v>0.04182041402059337</x:v>
      </x:c>
      <x:c r="AA37" s="13" t="n">
        <x:f>IFERROR(Q37/K37,"")</x:f>
        <x:v>0.16066876160812504</x:v>
      </x:c>
      <x:c r="AB37" s="13" t="n">
        <x:f>IFERROR(M37/O37,"")</x:f>
        <x:v>1.7203547346229737</x:v>
      </x:c>
      <x:c r="AC37" s="13" t="n">
        <x:f>IFERROR(R37/K37,"")</x:f>
        <x:v>0.012436060849984918</x:v>
      </x:c>
    </x:row>
    <x:row r="38">
      <x:c r="A38" s="13" t="str">
        <x:v>300394.SZ</x:v>
      </x:c>
      <x:c r="B38" s="13" t="str">
        <x:v>天孚通信</x:v>
      </x:c>
      <x:c r="C38" s="13" t="str">
        <x:v>民营企业</x:v>
      </x:c>
      <x:c r="D38" s="13" t="str">
        <x:v>信息技术--硬件设备--通信设备Ⅲ--通信设备Ⅳ</x:v>
      </x:c>
      <x:c r="E38" s="13" t="str">
        <x:v>硬件设备</x:v>
      </x:c>
      <x:c r="F38" s="13" t="n">
        <x:v>1181000</x:v>
      </x:c>
      <x:c r="G38" s="13" t="n">
        <x:v>2028007000</x:v>
      </x:c>
      <x:c r="H38" s="13" t="n">
        <x:v>6449303000</x:v>
      </x:c>
      <x:c r="I38" s="13" t="n">
        <x:v>1558000</x:v>
      </x:c>
      <x:c r="J38" s="13" t="n">
        <x:v>1350417000</x:v>
      </x:c>
      <x:c r="K38" s="13" t="n">
        <x:v>4736726000</x:v>
      </x:c>
      <x:c r="L38" s="13" t="n">
        <x:v>3898222000</x:v>
      </x:c>
      <x:c r="M38" s="13" t="n">
        <x:v>3524465000</x:v>
      </x:c>
      <x:c r="N38" s="13" t="n">
        <x:v>3225918000</x:v>
      </x:c>
      <x:c r="O38" s="13" t="n">
        <x:v>726690000</x:v>
      </x:c>
      <x:c r="P38" s="13" t="n">
        <x:v>1040386000</x:v>
      </x:c>
      <x:c r="Q38" s="13" t="n">
        <x:v>750728000</x:v>
      </x:c>
      <x:c r="R38" s="13" t="n">
        <x:v>451475000</x:v>
      </x:c>
      <x:c r="S38" s="13" t="n">
        <x:f>IFERROR((G38+F38)/H38,"")</x:f>
        <x:v>0.31463679098345976</x:v>
      </x:c>
      <x:c r="T38" s="13" t="n">
        <x:f>IFERROR(LN(K38),"")</x:f>
        <x:v>22.278612016698723</x:v>
      </x:c>
      <x:c r="U38" s="13" t="n">
        <x:f>IFERROR(N38/SUMIFS($N$2:$N$99,$E$2:$E$99,$E38),"")</x:f>
        <x:v>0.006540282819200799</x:v>
      </x:c>
      <x:c r="V38" s="13" t="n">
        <x:f>IFERROR(U38^2,"")</x:f>
        <x:v>0.00004277529935513315</x:v>
      </x:c>
      <x:c r="W38" s="13" t="n">
        <x:f>IFERROR(SUMIFS($V$2:$V$99,$E$2:$E$99,$E38),"")</x:f>
        <x:v>0.12235054081259594</x:v>
      </x:c>
      <x:c r="X38" s="13" t="n">
        <x:f>IFERROR(N38/AVERAGE(K38,L38),"")</x:f>
        <x:v>0.7471771688723545</x:v>
      </x:c>
      <x:c r="Y38" s="13" t="n">
        <x:f>IFERROR((M38-O38)/K38,"")</x:f>
        <x:v>0.5906558665204616</x:v>
      </x:c>
      <x:c r="Z38" s="13" t="n">
        <x:f>IFERROR(P38/K38,"")</x:f>
        <x:v>0.2196424281244049</x:v>
      </x:c>
      <x:c r="AA38" s="13" t="n">
        <x:f>IFERROR(Q38/K38,"")</x:f>
        <x:v>0.15849090701045407</x:v>
      </x:c>
      <x:c r="AB38" s="13" t="n">
        <x:f>IFERROR(M38/O38,"")</x:f>
        <x:v>4.850025457898141</x:v>
      </x:c>
      <x:c r="AC38" s="13" t="n">
        <x:f>IFERROR(R38/K38,"")</x:f>
        <x:v>0.09531372513419607</x:v>
      </x:c>
    </x:row>
    <x:row r="39">
      <x:c r="A39" s="13" t="str">
        <x:v>300408.SZ</x:v>
      </x:c>
      <x:c r="B39" s="13" t="str">
        <x:v>三环集团</x:v>
      </x:c>
      <x:c r="C39" s="13" t="str">
        <x:v>民营企业</x:v>
      </x:c>
      <x:c r="D39" s="13" t="str">
        <x:v>信息技术--硬件设备--电子设备、仪器和元件--电子元件</x:v>
      </x:c>
      <x:c r="E39" s="13" t="str">
        <x:v>硬件设备</x:v>
      </x:c>
      <x:c r="F39" s="13" t="n">
        <x:v>20396000</x:v>
      </x:c>
      <x:c r="G39" s="13" t="n">
        <x:v>2618384000</x:v>
      </x:c>
      <x:c r="H39" s="13" t="n">
        <x:v>26506089000</x:v>
      </x:c>
      <x:c r="I39" s="13" t="n">
        <x:v>27700000</x:v>
      </x:c>
      <x:c r="J39" s="13" t="n">
        <x:v>2190449000</x:v>
      </x:c>
      <x:c r="K39" s="13" t="n">
        <x:v>23915804000</x:v>
      </x:c>
      <x:c r="L39" s="13" t="n">
        <x:v>21826964000</x:v>
      </x:c>
      <x:c r="M39" s="13" t="n">
        <x:v>13602036000</x:v>
      </x:c>
      <x:c r="N39" s="13" t="n">
        <x:v>7266133000</x:v>
      </x:c>
      <x:c r="O39" s="13" t="n">
        <x:v>2744802000</x:v>
      </x:c>
      <x:c r="P39" s="13" t="n">
        <x:v>6137581000</x:v>
      </x:c>
      <x:c r="Q39" s="13" t="n">
        <x:v>4044036000</x:v>
      </x:c>
      <x:c r="R39" s="13" t="n">
        <x:v>639035000</x:v>
      </x:c>
      <x:c r="S39" s="13" t="n">
        <x:f>IFERROR((G39+F39)/H39,"")</x:f>
        <x:v>0.09955372895639186</x:v>
      </x:c>
      <x:c r="T39" s="13" t="n">
        <x:f>IFERROR(LN(K39),"")</x:f>
        <x:v>23.897805332581093</x:v>
      </x:c>
      <x:c r="U39" s="13" t="n">
        <x:f>IFERROR(N39/SUMIFS($N$2:$N$99,$E$2:$E$99,$E39),"")</x:f>
        <x:v>0.014731485680022851</x:v>
      </x:c>
      <x:c r="V39" s="13" t="n">
        <x:f>IFERROR(U39^2,"")</x:f>
        <x:v>0.00021701667034071834</x:v>
      </x:c>
      <x:c r="W39" s="13" t="n">
        <x:f>IFERROR(SUMIFS($V$2:$V$99,$E$2:$E$99,$E39),"")</x:f>
        <x:v>0.12235054081259594</x:v>
      </x:c>
      <x:c r="X39" s="13" t="n">
        <x:f>IFERROR(N39/AVERAGE(K39,L39),"")</x:f>
        <x:v>0.31769537864433567</x:v>
      </x:c>
      <x:c r="Y39" s="13" t="n">
        <x:f>IFERROR((M39-O39)/K39,"")</x:f>
        <x:v>0.45397737830599383</x:v>
      </x:c>
      <x:c r="Z39" s="13" t="n">
        <x:f>IFERROR(P39/K39,"")</x:f>
        <x:v>0.2566328524853273</x:v>
      </x:c>
      <x:c r="AA39" s="13" t="n">
        <x:f>IFERROR(Q39/K39,"")</x:f>
        <x:v>0.1690947124336694</x:v>
      </x:c>
      <x:c r="AB39" s="13" t="n">
        <x:f>IFERROR(M39/O39,"")</x:f>
        <x:v>4.9555618219456266</x:v>
      </x:c>
      <x:c r="AC39" s="13" t="n">
        <x:f>IFERROR(R39/K39,"")</x:f>
        <x:v>0.026720197238612593</x:v>
      </x:c>
    </x:row>
    <x:row r="40">
      <x:c r="A40" s="13" t="str">
        <x:v>300418.SZ</x:v>
      </x:c>
      <x:c r="B40" s="13" t="str">
        <x:v>昆仑万维</x:v>
      </x:c>
      <x:c r="C40" s="13" t="str">
        <x:v>民营企业</x:v>
      </x:c>
      <x:c r="D40" s="13" t="str">
        <x:v>通讯服务--传媒--互动媒体与服务Ⅲ--互动媒体与服务Ⅳ</x:v>
      </x:c>
      <x:c r="E40" s="13" t="str">
        <x:v>传媒</x:v>
      </x:c>
      <x:c r="F40" s="13" t="n">
        <x:v>81051953.25</x:v>
      </x:c>
      <x:c r="G40" s="13" t="n">
        <x:v>-1592728558.53</x:v>
      </x:c>
      <x:c r="H40" s="13" t="n">
        <x:v>20233944014.56</x:v>
      </x:c>
      <x:c r="I40" s="13" t="n">
        <x:v>65112781.31</x:v>
      </x:c>
      <x:c r="J40" s="13" t="n">
        <x:v>-1594796845.47</x:v>
      </x:c>
      <x:c r="K40" s="13" t="n">
        <x:v>20676372303.47</x:v>
      </x:c>
      <x:c r="L40" s="13" t="n">
        <x:v>21484962358.21</x:v>
      </x:c>
      <x:c r="M40" s="13" t="n">
        <x:v>4857989644.85</x:v>
      </x:c>
      <x:c r="N40" s="13" t="n">
        <x:v>5658456133.46</x:v>
      </x:c>
      <x:c r="O40" s="13" t="n">
        <x:v>3011477477.19</x:v>
      </x:c>
      <x:c r="P40" s="13" t="n">
        <x:v>367668657.21</x:v>
      </x:c>
      <x:c r="Q40" s="13" t="n">
        <x:v>3692631159.01</x:v>
      </x:c>
      <x:c r="R40" s="13" t="n">
        <x:v>414433275.34</x:v>
      </x:c>
      <x:c r="S40" s="13" t="n">
        <x:f>IFERROR((G40+F40)/H40,"")</x:f>
        <x:v>-0.07470993317922711</x:v>
      </x:c>
      <x:c r="T40" s="13" t="n">
        <x:f>IFERROR(LN(K40),"")</x:f>
        <x:v>23.75225745067013</x:v>
      </x:c>
      <x:c r="U40" s="13" t="n">
        <x:f>IFERROR(N40/SUMIFS($N$2:$N$99,$E$2:$E$99,$E40),"")</x:f>
        <x:v>0.7814072520792087</x:v>
      </x:c>
      <x:c r="V40" s="13" t="n">
        <x:f>IFERROR(U40^2,"")</x:f>
        <x:v>0.61059729360198</x:v>
      </x:c>
      <x:c r="W40" s="13" t="n">
        <x:f>IFERROR(SUMIFS($V$2:$V$99,$E$2:$E$99,$E40),"")</x:f>
        <x:v>0.6583800830455426</x:v>
      </x:c>
      <x:c r="X40" s="13" t="n">
        <x:f>IFERROR(N40/AVERAGE(K40,L40),"")</x:f>
        <x:v>0.2684192129526161</x:v>
      </x:c>
      <x:c r="Y40" s="13" t="n">
        <x:f>IFERROR((M40-O40)/K40,"")</x:f>
        <x:v>0.08930542266111693</x:v>
      </x:c>
      <x:c r="Z40" s="13" t="n">
        <x:f>IFERROR(P40/K40,"")</x:f>
        <x:v>0.017782067947591376</x:v>
      </x:c>
      <x:c r="AA40" s="13" t="n">
        <x:f>IFERROR(Q40/K40,"")</x:f>
        <x:v>0.17859182959238387</x:v>
      </x:c>
      <x:c r="AB40" s="13" t="n">
        <x:f>IFERROR(M40/O40,"")</x:f>
        <x:v>1.6131582193943468</x:v>
      </x:c>
      <x:c r="AC40" s="13" t="n">
        <x:f>IFERROR(R40/K40,"")</x:f>
        <x:v>0.020043809874251875</x:v>
      </x:c>
    </x:row>
    <x:row r="41">
      <x:c r="A41" s="13" t="str">
        <x:v>300433.SZ</x:v>
      </x:c>
      <x:c r="B41" s="13" t="str">
        <x:v>蓝思科技</x:v>
      </x:c>
      <x:c r="C41" s="13" t="str">
        <x:v>民营企业</x:v>
      </x:c>
      <x:c r="D41" s="13" t="str">
        <x:v>信息技术--硬件设备--电子设备、仪器和元件--电子元件</x:v>
      </x:c>
      <x:c r="E41" s="13" t="str">
        <x:v>硬件设备</x:v>
      </x:c>
      <x:c r="F41" s="13" t="n">
        <x:v>269418000</x:v>
      </x:c>
      <x:c r="G41" s="13" t="n">
        <x:v>4017827000</x:v>
      </x:c>
      <x:c r="H41" s="13" t="n">
        <x:v>84338600000</x:v>
      </x:c>
      <x:c r="I41" s="13" t="n">
        <x:v>388438000</x:v>
      </x:c>
      <x:c r="J41" s="13" t="n">
        <x:v>3623901000</x:v>
      </x:c>
      <x:c r="K41" s="13" t="n">
        <x:v>81016047000</x:v>
      </x:c>
      <x:c r="L41" s="13" t="n">
        <x:v>77469741000</x:v>
      </x:c>
      <x:c r="M41" s="13" t="n">
        <x:v>30772781000</x:v>
      </x:c>
      <x:c r="N41" s="13" t="n">
        <x:v>69896776000</x:v>
      </x:c>
      <x:c r="O41" s="13" t="n">
        <x:v>23065161000</x:v>
      </x:c>
      <x:c r="P41" s="13" t="n">
        <x:v>37809136000</x:v>
      </x:c>
      <x:c r="Q41" s="13" t="n">
        <x:v>32170137000</x:v>
      </x:c>
      <x:c r="R41" s="13" t="n">
        <x:v>6252235000</x:v>
      </x:c>
      <x:c r="S41" s="13" t="n">
        <x:f>IFERROR((G41+F41)/H41,"")</x:f>
        <x:v>0.05083372263708433</x:v>
      </x:c>
      <x:c r="T41" s="13" t="n">
        <x:f>IFERROR(LN(K41),"")</x:f>
        <x:v>25.117913083108547</x:v>
      </x:c>
      <x:c r="U41" s="13" t="n">
        <x:f>IFERROR(N41/SUMIFS($N$2:$N$99,$E$2:$E$99,$E41),"")</x:f>
        <x:v>0.14170995145887985</x:v>
      </x:c>
      <x:c r="V41" s="13" t="n">
        <x:f>IFERROR(U41^2,"")</x:f>
        <x:v>0.020081710342478083</x:v>
      </x:c>
      <x:c r="W41" s="13" t="n">
        <x:f>IFERROR(SUMIFS($V$2:$V$99,$E$2:$E$99,$E41),"")</x:f>
        <x:v>0.12235054081259594</x:v>
      </x:c>
      <x:c r="X41" s="13" t="n">
        <x:f>IFERROR(N41/AVERAGE(K41,L41),"")</x:f>
        <x:v>0.8820573362704295</x:v>
      </x:c>
      <x:c r="Y41" s="13" t="n">
        <x:f>IFERROR((M41-O41)/K41,"")</x:f>
        <x:v>0.09513695478131635</x:v>
      </x:c>
      <x:c r="Z41" s="13" t="n">
        <x:f>IFERROR(P41/K41,"")</x:f>
        <x:v>0.4666870009098321</x:v>
      </x:c>
      <x:c r="AA41" s="13" t="n">
        <x:f>IFERROR(Q41/K41,"")</x:f>
        <x:v>0.3970835185281257</x:v>
      </x:c>
      <x:c r="AB41" s="13" t="n">
        <x:f>IFERROR(M41/O41,"")</x:f>
        <x:v>1.334167188340892</x:v>
      </x:c>
      <x:c r="AC41" s="13" t="n">
        <x:f>IFERROR(R41/K41,"")</x:f>
        <x:v>0.07717279763106684</x:v>
      </x:c>
    </x:row>
    <x:row r="42">
      <x:c r="A42" s="13" t="str">
        <x:v>300442.SZ</x:v>
      </x:c>
      <x:c r="B42" s="13" t="str">
        <x:v>润泽科技</x:v>
      </x:c>
      <x:c r="C42" s="13" t="str">
        <x:v>民营企业</x:v>
      </x:c>
      <x:c r="D42" s="13" t="str">
        <x:v>信息技术--软件服务--信息技术服务--互联网服务与基础架构</x:v>
      </x:c>
      <x:c r="E42" s="13" t="str">
        <x:v>软件服务</x:v>
      </x:c>
      <x:c r="F42" s="13" t="n">
        <x:v>310631466.68</x:v>
      </x:c>
      <x:c r="G42" s="13" t="n">
        <x:v>5049938663.92</x:v>
      </x:c>
      <x:c r="H42" s="13" t="n">
        <x:v>42693736228.86</x:v>
      </x:c>
      <x:c r="I42" s="13" t="n">
        <x:v>247417902.77</x:v>
      </x:c>
      <x:c r="J42" s="13" t="n">
        <x:v>1790336174.26</x:v>
      </x:c>
      <x:c r="K42" s="13" t="n">
        <x:v>31308886649.72</x:v>
      </x:c>
      <x:c r="L42" s="13" t="n">
        <x:v>23310849208.6</x:v>
      </x:c>
      <x:c r="M42" s="13" t="n">
        <x:v>8940963098.28</x:v>
      </x:c>
      <x:c r="N42" s="13" t="n">
        <x:v>4302111006.9</x:v>
      </x:c>
      <x:c r="O42" s="13" t="n">
        <x:v>6017404718.55</x:v>
      </x:c>
      <x:c r="P42" s="13" t="n">
        <x:v>20219097818.66</x:v>
      </x:c>
      <x:c r="Q42" s="13" t="n">
        <x:v>19758779691.39</x:v>
      </x:c>
      <x:c r="R42" s="13" t="n">
        <x:v>4888330682.59</x:v>
      </x:c>
      <x:c r="S42" s="13" t="n">
        <x:f>IFERROR((G42+F42)/H42,"")</x:f>
        <x:v>0.12555870261306332</x:v>
      </x:c>
      <x:c r="T42" s="13" t="n">
        <x:f>IFERROR(LN(K42),"")</x:f>
        <x:v>24.167167812716688</x:v>
      </x:c>
      <x:c r="U42" s="13" t="n">
        <x:f>IFERROR(N42/SUMIFS($N$2:$N$99,$E$2:$E$99,$E42),"")</x:f>
        <x:v>0.05017682206585322</x:v>
      </x:c>
      <x:c r="V42" s="13" t="n">
        <x:f>IFERROR(U42^2,"")</x:f>
        <x:v>0.0025177134726282946</x:v>
      </x:c>
      <x:c r="W42" s="13" t="n">
        <x:f>IFERROR(SUMIFS($V$2:$V$99,$E$2:$E$99,$E42),"")</x:f>
        <x:v>0.23288063539086398</x:v>
      </x:c>
      <x:c r="X42" s="13" t="n">
        <x:f>IFERROR(N42/AVERAGE(K42,L42),"")</x:f>
        <x:v>0.15752954273010006</x:v>
      </x:c>
      <x:c r="Y42" s="13" t="n">
        <x:f>IFERROR((M42-O42)/K42,"")</x:f>
        <x:v>0.09337790935967843</x:v>
      </x:c>
      <x:c r="Z42" s="13" t="n">
        <x:f>IFERROR(P42/K42,"")</x:f>
        <x:v>0.6457942131532429</x:v>
      </x:c>
      <x:c r="AA42" s="13" t="n">
        <x:f>IFERROR(Q42/K42,"")</x:f>
        <x:v>0.6310917380246961</x:v>
      </x:c>
      <x:c r="AB42" s="13" t="n">
        <x:f>IFERROR(M42/O42,"")</x:f>
        <x:v>1.4858503817630009</x:v>
      </x:c>
      <x:c r="AC42" s="13" t="n">
        <x:f>IFERROR(R42/K42,"")</x:f>
        <x:v>0.15613237025257545</x:v>
      </x:c>
    </x:row>
    <x:row r="43">
      <x:c r="A43" s="13" t="str">
        <x:v>300476.SZ</x:v>
      </x:c>
      <x:c r="B43" s="13" t="str">
        <x:v>胜宏科技</x:v>
      </x:c>
      <x:c r="C43" s="13" t="str">
        <x:v>民营企业</x:v>
      </x:c>
      <x:c r="D43" s="13" t="str">
        <x:v>信息技术--硬件设备--电子设备、仪器和元件--电子元件</x:v>
      </x:c>
      <x:c r="E43" s="13" t="str">
        <x:v>硬件设备</x:v>
      </x:c>
      <x:c r="F43" s="13" t="n">
        <x:v>137778000</x:v>
      </x:c>
      <x:c r="G43" s="13" t="n">
        <x:v>4311988000</x:v>
      </x:c>
      <x:c r="H43" s="13" t="n">
        <x:v>35244489000</x:v>
      </x:c>
      <x:c r="I43" s="13" t="n">
        <x:v>110431000</x:v>
      </x:c>
      <x:c r="J43" s="13" t="n">
        <x:v>1154431000</x:v>
      </x:c>
      <x:c r="K43" s="13" t="n">
        <x:v>19175313000</x:v>
      </x:c>
      <x:c r="L43" s="13" t="n">
        <x:v>17383616000</x:v>
      </x:c>
      <x:c r="M43" s="13" t="n">
        <x:v>8079998000</x:v>
      </x:c>
      <x:c r="N43" s="13" t="n">
        <x:v>10731469000</x:v>
      </x:c>
      <x:c r="O43" s="13" t="n">
        <x:v>7536563000</x:v>
      </x:c>
      <x:c r="P43" s="13" t="n">
        <x:v>7414957000</x:v>
      </x:c>
      <x:c r="Q43" s="13" t="n">
        <x:v>10247380000</x:v>
      </x:c>
      <x:c r="R43" s="13" t="n">
        <x:v>1121532000</x:v>
      </x:c>
      <x:c r="S43" s="13" t="n">
        <x:f>IFERROR((G43+F43)/H43,"")</x:f>
        <x:v>0.12625423509474062</x:v>
      </x:c>
      <x:c r="T43" s="13" t="n">
        <x:f>IFERROR(LN(K43),"")</x:f>
        <x:v>23.676889507404187</x:v>
      </x:c>
      <x:c r="U43" s="13" t="n">
        <x:f>IFERROR(N43/SUMIFS($N$2:$N$99,$E$2:$E$99,$E43),"")</x:f>
        <x:v>0.021757168758005003</x:v>
      </x:c>
      <x:c r="V43" s="13" t="n">
        <x:f>IFERROR(U43^2,"")</x:f>
        <x:v>0.00047337439236430894</x:v>
      </x:c>
      <x:c r="W43" s="13" t="n">
        <x:f>IFERROR(SUMIFS($V$2:$V$99,$E$2:$E$99,$E43),"")</x:f>
        <x:v>0.12235054081259594</x:v>
      </x:c>
      <x:c r="X43" s="13" t="n">
        <x:f>IFERROR(N43/AVERAGE(K43,L43),"")</x:f>
        <x:v>0.5870778654374694</x:v>
      </x:c>
      <x:c r="Y43" s="13" t="n">
        <x:f>IFERROR((M43-O43)/K43,"")</x:f>
        <x:v>0.028340345735164793</x:v>
      </x:c>
      <x:c r="Z43" s="13" t="n">
        <x:f>IFERROR(P43/K43,"")</x:f>
        <x:v>0.386692879537351</x:v>
      </x:c>
      <x:c r="AA43" s="13" t="n">
        <x:f>IFERROR(Q43/K43,"")</x:f>
        <x:v>0.5344048360514376</x:v>
      </x:c>
      <x:c r="AB43" s="13" t="n">
        <x:f>IFERROR(M43/O43,"")</x:f>
        <x:v>1.0721064761218078</x:v>
      </x:c>
      <x:c r="AC43" s="13" t="n">
        <x:f>IFERROR(R43/K43,"")</x:f>
        <x:v>0.058488328195737925</x:v>
      </x:c>
    </x:row>
    <x:row r="44">
      <x:c r="A44" s="13" t="str">
        <x:v>300498.SZ</x:v>
      </x:c>
      <x:c r="B44" s="13" t="str">
        <x:v>温氏股份</x:v>
      </x:c>
      <x:c r="C44" s="13" t="str">
        <x:v>民营企业</x:v>
      </x:c>
      <x:c r="D44" s="13" t="str">
        <x:v>日常消费--食品饮料--食品--食品加工与肉类</x:v>
      </x:c>
      <x:c r="E44" s="13" t="str">
        <x:v>食品饮料</x:v>
      </x:c>
      <x:c r="F44" s="13" t="n">
        <x:v>706851580.34</x:v>
      </x:c>
      <x:c r="G44" s="13" t="n">
        <x:v>5266415817.82</x:v>
      </x:c>
      <x:c r="H44" s="13" t="n">
        <x:v>89507573237.28</x:v>
      </x:c>
      <x:c r="I44" s="13" t="n">
        <x:v>1034818133.64</x:v>
      </x:c>
      <x:c r="J44" s="13" t="n">
        <x:v>9230418856.62</x:v>
      </x:c>
      <x:c r="K44" s="13" t="n">
        <x:v>93857512000</x:v>
      </x:c>
      <x:c r="L44" s="13" t="n">
        <x:v>92895140058.76</x:v>
      </x:c>
      <x:c r="M44" s="13" t="n">
        <x:v>35522976306.79</x:v>
      </x:c>
      <x:c r="N44" s="13" t="n">
        <x:v>104700576011.3</x:v>
      </x:c>
      <x:c r="O44" s="13" t="n">
        <x:v>29135876174.6</x:v>
      </x:c>
      <x:c r="P44" s="13" t="n">
        <x:v>37739664305.71</x:v>
      </x:c>
      <x:c r="Q44" s="13" t="n">
        <x:v>49880145648.94</x:v>
      </x:c>
      <x:c r="R44" s="13" t="n">
        <x:v>9135258924.17</x:v>
      </x:c>
      <x:c r="S44" s="13" t="n">
        <x:f>IFERROR((G44+F44)/H44,"")</x:f>
        <x:v>0.06673477094865675</x:v>
      </x:c>
      <x:c r="T44" s="13" t="n">
        <x:f>IFERROR(LN(K44),"")</x:f>
        <x:v>25.265043639396893</x:v>
      </x:c>
      <x:c r="U44" s="13" t="n">
        <x:f>IFERROR(N44/SUMIFS($N$2:$N$99,$E$2:$E$99,$E44),"")</x:f>
        <x:v>0.20826747992360703</x:v>
      </x:c>
      <x:c r="V44" s="13" t="n">
        <x:f>IFERROR(U44^2,"")</x:f>
        <x:v>0.04337534319373006</x:v>
      </x:c>
      <x:c r="W44" s="13" t="n">
        <x:f>IFERROR(SUMIFS($V$2:$V$99,$E$2:$E$99,$E44),"")</x:f>
        <x:v>0.21624588016252744</x:v>
      </x:c>
      <x:c r="X44" s="13" t="n">
        <x:f>IFERROR(N44/AVERAGE(K44,L44),"")</x:f>
        <x:v>1.1212753859940572</x:v>
      </x:c>
      <x:c r="Y44" s="13" t="n">
        <x:f>IFERROR((M44-O44)/K44,"")</x:f>
        <x:v>0.06805102752127078</x:v>
      </x:c>
      <x:c r="Z44" s="13" t="n">
        <x:f>IFERROR(P44/K44,"")</x:f>
        <x:v>0.40209529851707554</x:v>
      </x:c>
      <x:c r="AA44" s="13" t="n">
        <x:f>IFERROR(Q44/K44,"")</x:f>
        <x:v>0.531445428139412</x:v>
      </x:c>
      <x:c r="AB44" s="13" t="n">
        <x:f>IFERROR(M44/O44,"")</x:f>
        <x:v>1.2192177126891461</x:v>
      </x:c>
      <x:c r="AC44" s="13" t="n">
        <x:f>IFERROR(R44/K44,"")</x:f>
        <x:v>0.09733114302209503</x:v>
      </x:c>
    </x:row>
    <x:row r="45">
      <x:c r="A45" s="13" t="str">
        <x:v>300502.SZ</x:v>
      </x:c>
      <x:c r="B45" s="13" t="str">
        <x:v>新易盛</x:v>
      </x:c>
      <x:c r="C45" s="13" t="str">
        <x:v>民营企业</x:v>
      </x:c>
      <x:c r="D45" s="13" t="str">
        <x:v>信息技术--硬件设备--通信设备Ⅲ--通信设备Ⅳ</x:v>
      </x:c>
      <x:c r="E45" s="13" t="str">
        <x:v>硬件设备</x:v>
      </x:c>
      <x:c r="F45" s="13" t="n">
        <x:v>-318175291.13</x:v>
      </x:c>
      <x:c r="G45" s="13" t="n">
        <x:v>9531922730.17</x:v>
      </x:c>
      <x:c r="H45" s="13" t="n">
        <x:v>25881071176.47</x:v>
      </x:c>
      <x:c r="I45" s="13" t="n">
        <x:v>-179316633.66</x:v>
      </x:c>
      <x:c r="J45" s="13" t="n">
        <x:v>2837813624.37</x:v>
      </x:c>
      <x:c r="K45" s="13" t="n">
        <x:v>12266549853.89</x:v>
      </x:c>
      <x:c r="L45" s="13" t="n">
        <x:v>6439983560.34</x:v>
      </x:c>
      <x:c r="M45" s="13" t="n">
        <x:v>8925435606.93</x:v>
      </x:c>
      <x:c r="N45" s="13" t="n">
        <x:v>8574973919.38</x:v>
      </x:c>
      <x:c r="O45" s="13" t="n">
        <x:v>3824576783.8</x:v>
      </x:c>
      <x:c r="P45" s="13" t="n">
        <x:v>2418932907.49</x:v>
      </x:c>
      <x:c r="Q45" s="13" t="n">
        <x:v>3938420036.03</x:v>
      </x:c>
      <x:c r="R45" s="13" t="n">
        <x:v>1476338009.26</x:v>
      </x:c>
      <x:c r="S45" s="13" t="n">
        <x:f>IFERROR((G45+F45)/H45,"")</x:f>
        <x:v>0.3560033267640313</x:v>
      </x:c>
      <x:c r="T45" s="13" t="n">
        <x:f>IFERROR(LN(K45),"")</x:f>
        <x:v>23.23014187062714</x:v>
      </x:c>
      <x:c r="U45" s="13" t="n">
        <x:f>IFERROR(N45/SUMIFS($N$2:$N$99,$E$2:$E$99,$E45),"")</x:f>
        <x:v>0.01738505275088082</x:v>
      </x:c>
      <x:c r="V45" s="13" t="n">
        <x:f>IFERROR(U45^2,"")</x:f>
        <x:v>0.0003022400591509088</x:v>
      </x:c>
      <x:c r="W45" s="13" t="n">
        <x:f>IFERROR(SUMIFS($V$2:$V$99,$E$2:$E$99,$E45),"")</x:f>
        <x:v>0.12235054081259594</x:v>
      </x:c>
      <x:c r="X45" s="13" t="n">
        <x:f>IFERROR(N45/AVERAGE(K45,L45),"")</x:f>
        <x:v>0.9167892018792798</x:v>
      </x:c>
      <x:c r="Y45" s="13" t="n">
        <x:f>IFERROR((M45-O45)/K45,"")</x:f>
        <x:v>0.4158348422243931</x:v>
      </x:c>
      <x:c r="Z45" s="13" t="n">
        <x:f>IFERROR(P45/K45,"")</x:f>
        <x:v>0.1971974953269278</x:v>
      </x:c>
      <x:c r="AA45" s="13" t="n">
        <x:f>IFERROR(Q45/K45,"")</x:f>
        <x:v>0.3210699082416429</x:v>
      </x:c>
      <x:c r="AB45" s="13" t="n">
        <x:f>IFERROR(M45/O45,"")</x:f>
        <x:v>2.333705429770956</x:v>
      </x:c>
      <x:c r="AC45" s="13" t="n">
        <x:f>IFERROR(R45/K45,"")</x:f>
        <x:v>0.12035478817149388</x:v>
      </x:c>
    </x:row>
    <x:row r="46">
      <x:c r="A46" s="13" t="str">
        <x:v>300628.SZ</x:v>
      </x:c>
      <x:c r="B46" s="13" t="str">
        <x:v>亿联网络</x:v>
      </x:c>
      <x:c r="C46" s="13" t="str">
        <x:v>民营企业</x:v>
      </x:c>
      <x:c r="D46" s="13" t="str">
        <x:v>信息技术--硬件设备--通信设备Ⅲ--通信设备Ⅳ</x:v>
      </x:c>
      <x:c r="E46" s="13" t="str">
        <x:v>硬件设备</x:v>
      </x:c>
      <x:c r="F46" s="13" t="n">
        <x:v>-8158583.75</x:v>
      </x:c>
      <x:c r="G46" s="13" t="n">
        <x:v>2600608389.66</x:v>
      </x:c>
      <x:c r="H46" s="13" t="n">
        <x:v>10695433077.25</x:v>
      </x:c>
      <x:c r="I46" s="13" t="n">
        <x:v>-67244566.63</x:v>
      </x:c>
      <x:c r="J46" s="13" t="n">
        <x:v>2647857338.07</x:v>
      </x:c>
      <x:c r="K46" s="13" t="n">
        <x:v>9774512670.1</x:v>
      </x:c>
      <x:c r="L46" s="13" t="n">
        <x:v>8885225066.6</x:v>
      </x:c>
      <x:c r="M46" s="13" t="n">
        <x:v>8036748082.19</x:v>
      </x:c>
      <x:c r="N46" s="13" t="n">
        <x:v>5554633124.62</x:v>
      </x:c>
      <x:c r="O46" s="13" t="n">
        <x:v>796374165.95</x:v>
      </x:c>
      <x:c r="P46" s="13" t="n">
        <x:v>1076501689.45</x:v>
      </x:c>
      <x:c r="Q46" s="13" t="n">
        <x:v>826841266.48</x:v>
      </x:c>
      <x:c r="R46" s="13" t="n">
        <x:v>140117334.32</x:v>
      </x:c>
      <x:c r="S46" s="13" t="n">
        <x:f>IFERROR((G46+F46)/H46,"")</x:f>
        <x:v>0.2423884836813516</x:v>
      </x:c>
      <x:c r="T46" s="13" t="n">
        <x:f>IFERROR(LN(K46),"")</x:f>
        <x:v>23.003044086853826</x:v>
      </x:c>
      <x:c r="U46" s="13" t="n">
        <x:f>IFERROR(N46/SUMIFS($N$2:$N$99,$E$2:$E$99,$E46),"")</x:f>
        <x:v>0.011261560768722527</x:v>
      </x:c>
      <x:c r="V46" s="13" t="n">
        <x:f>IFERROR(U46^2,"")</x:f>
        <x:v>0.00012682275094763032</x:v>
      </x:c>
      <x:c r="W46" s="13" t="n">
        <x:f>IFERROR(SUMIFS($V$2:$V$99,$E$2:$E$99,$E46),"")</x:f>
        <x:v>0.12235054081259594</x:v>
      </x:c>
      <x:c r="X46" s="13" t="n">
        <x:f>IFERROR(N46/AVERAGE(K46,L46),"")</x:f>
        <x:v>0.5953602567194863</x:v>
      </x:c>
      <x:c r="Y46" s="13" t="n">
        <x:f>IFERROR((M46-O46)/K46,"")</x:f>
        <x:v>0.7407401433309437</x:v>
      </x:c>
      <x:c r="Z46" s="13" t="n">
        <x:f>IFERROR(P46/K46,"")</x:f>
        <x:v>0.11013354074858309</x:v>
      </x:c>
      <x:c r="AA46" s="13" t="n">
        <x:f>IFERROR(Q46/K46,"")</x:f>
        <x:v>0.08459155912798472</x:v>
      </x:c>
      <x:c r="AB46" s="13" t="n">
        <x:f>IFERROR(M46/O46,"")</x:f>
        <x:v>10.09167351957344</x:v>
      </x:c>
      <x:c r="AC46" s="13" t="n">
        <x:f>IFERROR(R46/K46,"")</x:f>
        <x:v>0.014334968816257771</x:v>
      </x:c>
    </x:row>
    <x:row r="47">
      <x:c r="A47" s="13" t="str">
        <x:v>300661.SZ</x:v>
      </x:c>
      <x:c r="B47" s="13" t="str">
        <x:v>圣邦股份</x:v>
      </x:c>
      <x:c r="C47" s="13" t="str">
        <x:v>民营企业</x:v>
      </x:c>
      <x:c r="D47" s="13" t="str">
        <x:v>信息技术--半导体--半导体产品--集成电路</x:v>
      </x:c>
      <x:c r="E47" s="13" t="str">
        <x:v>半导体</x:v>
      </x:c>
      <x:c r="F47" s="13" t="n">
        <x:v>11996000</x:v>
      </x:c>
      <x:c r="G47" s="13" t="n">
        <x:v>547060000</x:v>
      </x:c>
      <x:c r="H47" s="13" t="n">
        <x:v>6954150000</x:v>
      </x:c>
      <x:c r="I47" s="13" t="n">
        <x:v>2242000</x:v>
      </x:c>
      <x:c r="J47" s="13" t="n">
        <x:v>500249000</x:v>
      </x:c>
      <x:c r="K47" s="13" t="n">
        <x:v>5771119000</x:v>
      </x:c>
      <x:c r="L47" s="13" t="n">
        <x:v>4706852000</x:v>
      </x:c>
      <x:c r="M47" s="13" t="n">
        <x:v>3690614000</x:v>
      </x:c>
      <x:c r="N47" s="13" t="n">
        <x:v>3346983000</x:v>
      </x:c>
      <x:c r="O47" s="13" t="n">
        <x:v>868870000</x:v>
      </x:c>
      <x:c r="P47" s="13" t="n">
        <x:v>691094000</x:v>
      </x:c>
      <x:c r="Q47" s="13" t="n">
        <x:v>1171859000</x:v>
      </x:c>
      <x:c r="R47" s="13" t="n">
        <x:v>240313000</x:v>
      </x:c>
      <x:c r="S47" s="13" t="n">
        <x:f>IFERROR((G47+F47)/H47,"")</x:f>
        <x:v>0.08039170854813313</x:v>
      </x:c>
      <x:c r="T47" s="13" t="n">
        <x:f>IFERROR(LN(K47),"")</x:f>
        <x:v>22.476131832805738</x:v>
      </x:c>
      <x:c r="U47" s="13" t="n">
        <x:f>IFERROR(N47/SUMIFS($N$2:$N$99,$E$2:$E$99,$E47),"")</x:f>
        <x:v>0.058877778820531926</x:v>
      </x:c>
      <x:c r="V47" s="13" t="n">
        <x:f>IFERROR(U47^2,"")</x:f>
        <x:v>0.003466592838839478</x:v>
      </x:c>
      <x:c r="W47" s="13" t="n">
        <x:f>IFERROR(SUMIFS($V$2:$V$99,$E$2:$E$99,$E47),"")</x:f>
        <x:v>0.27301628783410753</x:v>
      </x:c>
      <x:c r="X47" s="13" t="n">
        <x:f>IFERROR(N47/AVERAGE(K47,L47),"")</x:f>
        <x:v>0.6388609016001285</x:v>
      </x:c>
      <x:c r="Y47" s="13" t="n">
        <x:f>IFERROR((M47-O47)/K47,"")</x:f>
        <x:v>0.48894226578935557</x:v>
      </x:c>
      <x:c r="Z47" s="13" t="n">
        <x:f>IFERROR(P47/K47,"")</x:f>
        <x:v>0.11975043314823347</x:v>
      </x:c>
      <x:c r="AA47" s="13" t="n">
        <x:f>IFERROR(Q47/K47,"")</x:f>
        <x:v>0.20305576786754873</x:v>
      </x:c>
      <x:c r="AB47" s="13" t="n">
        <x:f>IFERROR(M47/O47,"")</x:f>
        <x:v>4.247602057845247</x:v>
      </x:c>
      <x:c r="AC47" s="13" t="n">
        <x:f>IFERROR(R47/K47,"")</x:f>
        <x:v>0.041640624634494625</x:v>
      </x:c>
    </x:row>
    <x:row r="48">
      <x:c r="A48" s="13" t="str">
        <x:v>300750.SZ</x:v>
      </x:c>
      <x:c r="B48" s="13" t="str">
        <x:v>宁德时代</x:v>
      </x:c>
      <x:c r="C48" s="13" t="str">
        <x:v>民营企业</x:v>
      </x:c>
      <x:c r="D48" s="13" t="str">
        <x:v>工业--电气设备--电气设备Ⅲ--电气部件与设备</x:v>
      </x:c>
      <x:c r="E48" s="13" t="str">
        <x:v>电气设备</x:v>
      </x:c>
      <x:c r="F48" s="13" t="n">
        <x:v>2734017000</x:v>
      </x:c>
      <x:c r="G48" s="13" t="n">
        <x:v>72201282000</x:v>
      </x:c>
      <x:c r="H48" s="13" t="n">
        <x:v>974827544000</x:v>
      </x:c>
      <x:c r="I48" s="13" t="n">
        <x:v>3879076000</x:v>
      </x:c>
      <x:c r="J48" s="13" t="n">
        <x:v>52032846000</x:v>
      </x:c>
      <x:c r="K48" s="13" t="n">
        <x:v>786658123000</x:v>
      </x:c>
      <x:c r="L48" s="13" t="n">
        <x:v>717168041000</x:v>
      </x:c>
      <x:c r="M48" s="13" t="n">
        <x:v>510142088000</x:v>
      </x:c>
      <x:c r="N48" s="13" t="n">
        <x:v>362012554000</x:v>
      </x:c>
      <x:c r="O48" s="13" t="n">
        <x:v>317171534000</x:v>
      </x:c>
      <x:c r="P48" s="13" t="n">
        <x:v>146937736000</x:v>
      </x:c>
      <x:c r="Q48" s="13" t="n">
        <x:v>513201950000</x:v>
      </x:c>
      <x:c r="R48" s="13" t="n">
        <x:v>31179943000</x:v>
      </x:c>
      <x:c r="S48" s="13" t="n">
        <x:f>IFERROR((G48+F48)/H48,"")</x:f>
        <x:v>0.0768703135864614</x:v>
      </x:c>
      <x:c r="T48" s="13" t="n">
        <x:f>IFERROR(LN(K48),"")</x:f>
        <x:v>27.39105958564576</x:v>
      </x:c>
      <x:c r="U48" s="13" t="n">
        <x:f>IFERROR(N48/SUMIFS($N$2:$N$99,$E$2:$E$99,$E48),"")</x:f>
        <x:v>0.3218157174373474</x:v>
      </x:c>
      <x:c r="V48" s="13" t="n">
        <x:f>IFERROR(U48^2,"")</x:f>
        <x:v>0.10356535598971461</x:v>
      </x:c>
      <x:c r="W48" s="13" t="n">
        <x:f>IFERROR(SUMIFS($V$2:$V$99,$E$2:$E$99,$E48),"")</x:f>
        <x:v>0.14616578354193543</x:v>
      </x:c>
      <x:c r="X48" s="13" t="n">
        <x:f>IFERROR(N48/AVERAGE(K48,L48),"")</x:f>
        <x:v>0.48145532065633084</x:v>
      </x:c>
      <x:c r="Y48" s="13" t="n">
        <x:f>IFERROR((M48-O48)/K48,"")</x:f>
        <x:v>0.24530421584421877</x:v>
      </x:c>
      <x:c r="Z48" s="13" t="n">
        <x:f>IFERROR(P48/K48,"")</x:f>
        <x:v>0.18678728624785332</x:v>
      </x:c>
      <x:c r="AA48" s="13" t="n">
        <x:f>IFERROR(Q48/K48,"")</x:f>
        <x:v>0.6523824454298555</x:v>
      </x:c>
      <x:c r="AB48" s="13" t="n">
        <x:f>IFERROR(M48/O48,"")</x:f>
        <x:v>1.6084106967808782</x:v>
      </x:c>
      <x:c r="AC48" s="13" t="n">
        <x:f>IFERROR(R48/K48,"")</x:f>
        <x:v>0.039635951232655106</x:v>
      </x:c>
    </x:row>
    <x:row r="49">
      <x:c r="A49" s="13" t="str">
        <x:v>300759.SZ</x:v>
      </x:c>
      <x:c r="B49" s="13" t="str">
        <x:v>康龙化成</x:v>
      </x:c>
      <x:c r="C49" s="13" t="str">
        <x:v>民营企业</x:v>
      </x:c>
      <x:c r="D49" s="13" t="str">
        <x:v>医疗保健--医药生物--生命科学工具和服务Ⅲ--生命科学工具和服务Ⅳ</x:v>
      </x:c>
      <x:c r="E49" s="13" t="str">
        <x:v>医药生物</x:v>
      </x:c>
      <x:c r="F49" s="13" t="n">
        <x:v>192805000</x:v>
      </x:c>
      <x:c r="G49" s="13" t="n">
        <x:v>1663899000</x:v>
      </x:c>
      <x:c r="H49" s="13" t="n">
        <x:v>27093783000</x:v>
      </x:c>
      <x:c r="I49" s="13" t="n">
        <x:v>243718000</x:v>
      </x:c>
      <x:c r="J49" s="13" t="n">
        <x:v>1793351000</x:v>
      </x:c>
      <x:c r="K49" s="13" t="n">
        <x:v>23927399000</x:v>
      </x:c>
      <x:c r="L49" s="13" t="n">
        <x:v>26476713000</x:v>
      </x:c>
      <x:c r="M49" s="13" t="n">
        <x:v>7608180000</x:v>
      </x:c>
      <x:c r="N49" s="13" t="n">
        <x:v>12275775000</x:v>
      </x:c>
      <x:c r="O49" s="13" t="n">
        <x:v>4224006000</x:v>
      </x:c>
      <x:c r="P49" s="13" t="n">
        <x:v>10740838000</x:v>
      </x:c>
      <x:c r="Q49" s="13" t="n">
        <x:v>9704526000</x:v>
      </x:c>
      <x:c r="R49" s="13" t="n">
        <x:v>2040641000</x:v>
      </x:c>
      <x:c r="S49" s="13" t="n">
        <x:f>IFERROR((G49+F49)/H49,"")</x:f>
        <x:v>0.06852878389112366</x:v>
      </x:c>
      <x:c r="T49" s="13" t="n">
        <x:f>IFERROR(LN(K49),"")</x:f>
        <x:v>23.8982900409409</x:v>
      </x:c>
      <x:c r="U49" s="13" t="n">
        <x:f>IFERROR(N49/SUMIFS($N$2:$N$99,$E$2:$E$99,$E49),"")</x:f>
        <x:v>0.059333899321146626</x:v>
      </x:c>
      <x:c r="V49" s="13" t="n">
        <x:f>IFERROR(U49^2,"")</x:f>
        <x:v>0.003520511608651964</x:v>
      </x:c>
      <x:c r="W49" s="13" t="n">
        <x:f>IFERROR(SUMIFS($V$2:$V$99,$E$2:$E$99,$E49),"")</x:f>
        <x:v>0.13623235092080122</x:v>
      </x:c>
      <x:c r="X49" s="13" t="n">
        <x:f>IFERROR(N49/AVERAGE(K49,L49),"")</x:f>
        <x:v>0.4870941878710213</x:v>
      </x:c>
      <x:c r="Y49" s="13" t="n">
        <x:f>IFERROR((M49-O49)/K49,"")</x:f>
        <x:v>0.14143509706174082</x:v>
      </x:c>
      <x:c r="Z49" s="13" t="n">
        <x:f>IFERROR(P49/K49,"")</x:f>
        <x:v>0.44889283620003995</x:v>
      </x:c>
      <x:c r="AA49" s="13" t="n">
        <x:f>IFERROR(Q49/K49,"")</x:f>
        <x:v>0.4055821529118146</x:v>
      </x:c>
      <x:c r="AB49" s="13" t="n">
        <x:f>IFERROR(M49/O49,"")</x:f>
        <x:v>1.801176418783496</x:v>
      </x:c>
      <x:c r="AC49" s="13" t="n">
        <x:f>IFERROR(R49/K49,"")</x:f>
        <x:v>0.08528469809861072</x:v>
      </x:c>
    </x:row>
    <x:row r="50">
      <x:c r="A50" s="13" t="str">
        <x:v>300760.SZ</x:v>
      </x:c>
      <x:c r="B50" s="13" t="str">
        <x:v>迈瑞医疗</x:v>
      </x:c>
      <x:c r="C50" s="13" t="str">
        <x:v>民营企业</x:v>
      </x:c>
      <x:c r="D50" s="13" t="str">
        <x:v>医疗保健--医疗设备与服务--医疗保健设备与用品--医疗保健设备</x:v>
      </x:c>
      <x:c r="E50" s="13" t="str">
        <x:v>医疗设备与服务</x:v>
      </x:c>
      <x:c r="F50" s="13" t="n">
        <x:v>83260000</x:v>
      </x:c>
      <x:c r="G50" s="13" t="n">
        <x:v>8135775000</x:v>
      </x:c>
      <x:c r="H50" s="13" t="n">
        <x:v>59266767000</x:v>
      </x:c>
      <x:c r="I50" s="13" t="n">
        <x:v>87573000</x:v>
      </x:c>
      <x:c r="J50" s="13" t="n">
        <x:v>11668487000</x:v>
      </x:c>
      <x:c r="K50" s="13" t="n">
        <x:v>56643545000</x:v>
      </x:c>
      <x:c r="L50" s="13" t="n">
        <x:v>47940003000</x:v>
      </x:c>
      <x:c r="M50" s="13" t="n">
        <x:v>25646622000</x:v>
      </x:c>
      <x:c r="N50" s="13" t="n">
        <x:v>36725750000</x:v>
      </x:c>
      <x:c r="O50" s="13" t="n">
        <x:v>10427129000</x:v>
      </x:c>
      <x:c r="P50" s="13" t="n">
        <x:v>9814007000</x:v>
      </x:c>
      <x:c r="Q50" s="13" t="n">
        <x:v>15885368000</x:v>
      </x:c>
      <x:c r="R50" s="13" t="n">
        <x:v>1959448000</x:v>
      </x:c>
      <x:c r="S50" s="13" t="n">
        <x:f>IFERROR((G50+F50)/H50,"")</x:f>
        <x:v>0.13867864599396826</x:v>
      </x:c>
      <x:c r="T50" s="13" t="n">
        <x:f>IFERROR(LN(K50),"")</x:f>
        <x:v>24.760043872650147</x:v>
      </x:c>
      <x:c r="U50" s="13" t="n">
        <x:f>IFERROR(N50/SUMIFS($N$2:$N$99,$E$2:$E$99,$E50),"")</x:f>
        <x:v>0.32179879473516715</x:v>
      </x:c>
      <x:c r="V50" s="13" t="n">
        <x:f>IFERROR(U50^2,"")</x:f>
        <x:v>0.10355446429300624</x:v>
      </x:c>
      <x:c r="W50" s="13" t="n">
        <x:f>IFERROR(SUMIFS($V$2:$V$99,$E$2:$E$99,$E50),"")</x:f>
        <x:v>0.28019975017592524</x:v>
      </x:c>
      <x:c r="X50" s="13" t="n">
        <x:f>IFERROR(N50/AVERAGE(K50,L50),"")</x:f>
        <x:v>0.7023236580193283</x:v>
      </x:c>
      <x:c r="Y50" s="13" t="n">
        <x:f>IFERROR((M50-O50)/K50,"")</x:f>
        <x:v>0.2686889212177663</x:v>
      </x:c>
      <x:c r="Z50" s="13" t="n">
        <x:f>IFERROR(P50/K50,"")</x:f>
        <x:v>0.17325905361325813</x:v>
      </x:c>
      <x:c r="AA50" s="13" t="n">
        <x:f>IFERROR(Q50/K50,"")</x:f>
        <x:v>0.28044445311464883</x:v>
      </x:c>
      <x:c r="AB50" s="13" t="n">
        <x:f>IFERROR(M50/O50,"")</x:f>
        <x:v>2.4596053237664943</x:v>
      </x:c>
      <x:c r="AC50" s="13" t="n">
        <x:f>IFERROR(R50/K50,"")</x:f>
        <x:v>0.0345926089195159</x:v>
      </x:c>
    </x:row>
    <x:row r="51">
      <x:c r="A51" s="13" t="str">
        <x:v>300782.SZ</x:v>
      </x:c>
      <x:c r="B51" s="13" t="str">
        <x:v>卓胜微</x:v>
      </x:c>
      <x:c r="C51" s="13" t="str">
        <x:v>民营企业</x:v>
      </x:c>
      <x:c r="D51" s="13" t="str">
        <x:v>信息技术--半导体--半导体产品--集成电路</x:v>
      </x:c>
      <x:c r="E51" s="13" t="str">
        <x:v>半导体</x:v>
      </x:c>
      <x:c r="F51" s="13" t="n">
        <x:v>52078551.33</x:v>
      </x:c>
      <x:c r="G51" s="13" t="n">
        <x:v>-292878971.29</x:v>
      </x:c>
      <x:c r="H51" s="13" t="n">
        <x:v>15468761986.78</x:v>
      </x:c>
      <x:c r="I51" s="13" t="n">
        <x:v>21378761.74</x:v>
      </x:c>
      <x:c r="J51" s="13" t="n">
        <x:v>401826648.58</x:v>
      </x:c>
      <x:c r="K51" s="13" t="n">
        <x:v>14232842014.49</x:v>
      </x:c>
      <x:c r="L51" s="13" t="n">
        <x:v>10957700894.9</x:v>
      </x:c>
      <x:c r="M51" s="13" t="n">
        <x:v>5016425768.98</x:v>
      </x:c>
      <x:c r="N51" s="13" t="n">
        <x:v>4470291492.42</x:v>
      </x:c>
      <x:c r="O51" s="13" t="n">
        <x:v>2970571763.46</x:v>
      </x:c>
      <x:c r="P51" s="13" t="n">
        <x:v>8237840796.78</x:v>
      </x:c>
      <x:c r="Q51" s="13" t="n">
        <x:v>4032035044.03</x:v>
      </x:c>
      <x:c r="R51" s="13" t="n">
        <x:v>1868129167.21</x:v>
      </x:c>
      <x:c r="S51" s="13" t="n">
        <x:f>IFERROR((G51+F51)/H51,"")</x:f>
        <x:v>-0.015566883772973831</x:v>
      </x:c>
      <x:c r="T51" s="13" t="n">
        <x:f>IFERROR(LN(K51),"")</x:f>
        <x:v>23.3788179490288</x:v>
      </x:c>
      <x:c r="U51" s="13" t="n">
        <x:f>IFERROR(N51/SUMIFS($N$2:$N$99,$E$2:$E$99,$E51),"")</x:f>
        <x:v>0.07863823442007634</x:v>
      </x:c>
      <x:c r="V51" s="13" t="n">
        <x:f>IFERROR(U51^2,"")</x:f>
        <x:v>0.006183971912706879</x:v>
      </x:c>
      <x:c r="W51" s="13" t="n">
        <x:f>IFERROR(SUMIFS($V$2:$V$99,$E$2:$E$99,$E51),"")</x:f>
        <x:v>0.27301628783410753</x:v>
      </x:c>
      <x:c r="X51" s="13" t="n">
        <x:f>IFERROR(N51/AVERAGE(K51,L51),"")</x:f>
        <x:v>0.35491823328298805</x:v>
      </x:c>
      <x:c r="Y51" s="13" t="n">
        <x:f>IFERROR((M51-O51)/K51,"")</x:f>
        <x:v>0.14374177718246162</x:v>
      </x:c>
      <x:c r="Z51" s="13" t="n">
        <x:f>IFERROR(P51/K51,"")</x:f>
        <x:v>0.5787909953889264</x:v>
      </x:c>
      <x:c r="AA51" s="13" t="n">
        <x:f>IFERROR(Q51/K51,"")</x:f>
        <x:v>0.2832909295223761</x:v>
      </x:c>
      <x:c r="AB51" s="13" t="n">
        <x:f>IFERROR(M51/O51,"")</x:f>
        <x:v>1.6887071474540216</x:v>
      </x:c>
      <x:c r="AC51" s="13" t="n">
        <x:f>IFERROR(R51/K51,"")</x:f>
        <x:v>0.1312548235488118</x:v>
      </x:c>
    </x:row>
    <x:row r="52">
      <x:c r="A52" s="13" t="str">
        <x:v>300803.SZ</x:v>
      </x:c>
      <x:c r="B52" s="13" t="str">
        <x:v>指南针</x:v>
      </x:c>
      <x:c r="C52" s="13" t="str">
        <x:v>民营企业</x:v>
      </x:c>
      <x:c r="D52" s="13" t="str">
        <x:v>信息技术--软件服务--软件--应用软件</x:v>
      </x:c>
      <x:c r="E52" s="13" t="str">
        <x:v>软件服务</x:v>
      </x:c>
      <x:c r="F52" s="13" t="n">
        <x:v>28253212</x:v>
      </x:c>
      <x:c r="G52" s="13" t="n">
        <x:v>227916215</x:v>
      </x:c>
      <x:c r="H52" s="13" t="n">
        <x:v>15297047896</x:v>
      </x:c>
      <x:c r="I52" s="13" t="n">
        <x:v>19471381</x:v>
      </x:c>
      <x:c r="J52" s="13" t="n">
        <x:v>104197092</x:v>
      </x:c>
      <x:c r="K52" s="13" t="n">
        <x:v>10873691318</x:v>
      </x:c>
      <x:c r="L52" s="13" t="n">
        <x:v>5430841906</x:v>
      </x:c>
      <x:c r="M52" s="13" t="n">
        <x:v>8618952450</x:v>
      </x:c>
      <x:c r="N52" s="13" t="n">
        <x:v>1197190817</x:v>
      </x:c>
      <x:c r="O52" s="13" t="n">
        <x:v>7847184469</x:v>
      </x:c>
      <x:c r="P52" s="13" t="n">
        <x:v>378752358</x:v>
      </x:c>
      <x:c r="Q52" s="13" t="n">
        <x:v>8647998414</x:v>
      </x:c>
      <x:c r="R52" s="13" t="n">
        <x:v>117983040</x:v>
      </x:c>
      <x:c r="S52" s="13" t="n">
        <x:f>IFERROR((G52+F52)/H52,"")</x:f>
        <x:v>0.016746330974552633</x:v>
      </x:c>
      <x:c r="T52" s="13" t="n">
        <x:f>IFERROR(LN(K52),"")</x:f>
        <x:v>23.10961206810518</x:v>
      </x:c>
      <x:c r="U52" s="13" t="n">
        <x:f>IFERROR(N52/SUMIFS($N$2:$N$99,$E$2:$E$99,$E52),"")</x:f>
        <x:v>0.01396319864995031</x:v>
      </x:c>
      <x:c r="V52" s="13" t="n">
        <x:f>IFERROR(U52^2,"")</x:f>
        <x:v>0.00019497091653797416</x:v>
      </x:c>
      <x:c r="W52" s="13" t="n">
        <x:f>IFERROR(SUMIFS($V$2:$V$99,$E$2:$E$99,$E52),"")</x:f>
        <x:v>0.23288063539086398</x:v>
      </x:c>
      <x:c r="X52" s="13" t="n">
        <x:f>IFERROR(N52/AVERAGE(K52,L52),"")</x:f>
        <x:v>0.14685373700091642</x:v>
      </x:c>
      <x:c r="Y52" s="13" t="n">
        <x:f>IFERROR((M52-O52)/K52,"")</x:f>
        <x:v>0.07097571178266181</x:v>
      </x:c>
      <x:c r="Z52" s="13" t="n">
        <x:f>IFERROR(P52/K52,"")</x:f>
        <x:v>0.03483199466707539</x:v>
      </x:c>
      <x:c r="AA52" s="13" t="n">
        <x:f>IFERROR(Q52/K52,"")</x:f>
        <x:v>0.7953139519129395</x:v>
      </x:c>
      <x:c r="AB52" s="13" t="n">
        <x:f>IFERROR(M52/O52,"")</x:f>
        <x:v>1.0983496672021462</x:v>
      </x:c>
      <x:c r="AC52" s="13" t="n">
        <x:f>IFERROR(R52/K52,"")</x:f>
        <x:v>0.010850320884564217</x:v>
      </x:c>
    </x:row>
    <x:row r="53">
      <x:c r="A53" s="13" t="str">
        <x:v>300832.SZ</x:v>
      </x:c>
      <x:c r="B53" s="13" t="str">
        <x:v>新产业</x:v>
      </x:c>
      <x:c r="C53" s="13" t="str">
        <x:v>民营企业</x:v>
      </x:c>
      <x:c r="D53" s="13" t="str">
        <x:v>医疗保健--医疗设备与服务--医疗保健设备与用品--医疗保健设备</x:v>
      </x:c>
      <x:c r="E53" s="13" t="str">
        <x:v>医疗设备与服务</x:v>
      </x:c>
      <x:c r="F53" s="13" t="n">
        <x:v>-18603587.31</x:v>
      </x:c>
      <x:c r="G53" s="13" t="n">
        <x:v>1620252203.02</x:v>
      </x:c>
      <x:c r="H53" s="13" t="n">
        <x:v>9940757976.79</x:v>
      </x:c>
      <x:c r="I53" s="13" t="n">
        <x:v>-34748744.21</x:v>
      </x:c>
      <x:c r="J53" s="13" t="n">
        <x:v>1828456618.27</x:v>
      </x:c>
      <x:c r="K53" s="13" t="n">
        <x:v>9619453527.11</x:v>
      </x:c>
      <x:c r="L53" s="13" t="n">
        <x:v>8222488843.69</x:v>
      </x:c>
      <x:c r="M53" s="13" t="n">
        <x:v>5055963543.09</x:v>
      </x:c>
      <x:c r="N53" s="13" t="n">
        <x:v>4519401590.07</x:v>
      </x:c>
      <x:c r="O53" s="13" t="n">
        <x:v>908743088.57</x:v>
      </x:c>
      <x:c r="P53" s="13" t="n">
        <x:v>1688667656.54</x:v>
      </x:c>
      <x:c r="Q53" s="13" t="n">
        <x:v>1042846052.2</x:v>
      </x:c>
      <x:c r="R53" s="13" t="n">
        <x:v>439197982.33</x:v>
      </x:c>
      <x:c r="S53" s="13" t="n">
        <x:f>IFERROR((G53+F53)/H53,"")</x:f>
        <x:v>0.16111936528880197</x:v>
      </x:c>
      <x:c r="T53" s="13" t="n">
        <x:f>IFERROR(LN(K53),"")</x:f>
        <x:v>22.98705329409679</x:v>
      </x:c>
      <x:c r="U53" s="13" t="n">
        <x:f>IFERROR(N53/SUMIFS($N$2:$N$99,$E$2:$E$99,$E53),"")</x:f>
        <x:v>0.039599953291865345</x:v>
      </x:c>
      <x:c r="V53" s="13" t="n">
        <x:f>IFERROR(U53^2,"")</x:f>
        <x:v>0.001568156300717917</x:v>
      </x:c>
      <x:c r="W53" s="13" t="n">
        <x:f>IFERROR(SUMIFS($V$2:$V$99,$E$2:$E$99,$E53),"")</x:f>
        <x:v>0.28019975017592524</x:v>
      </x:c>
      <x:c r="X53" s="13" t="n">
        <x:f>IFERROR(N53/AVERAGE(K53,L53),"")</x:f>
        <x:v>0.5066042133917461</x:v>
      </x:c>
      <x:c r="Y53" s="13" t="n">
        <x:f>IFERROR((M53-O53)/K53,"")</x:f>
        <x:v>0.43112848799904346</x:v>
      </x:c>
      <x:c r="Z53" s="13" t="n">
        <x:f>IFERROR(P53/K53,"")</x:f>
        <x:v>0.17554715055079964</x:v>
      </x:c>
      <x:c r="AA53" s="13" t="n">
        <x:f>IFERROR(Q53/K53,"")</x:f>
        <x:v>0.10841011386572032</x:v>
      </x:c>
      <x:c r="AB53" s="13" t="n">
        <x:f>IFERROR(M53/O53,"")</x:f>
        <x:v>5.563688578964682</x:v>
      </x:c>
      <x:c r="AC53" s="13" t="n">
        <x:f>IFERROR(R53/K53,"")</x:f>
        <x:v>0.04565726952079257</x:v>
      </x:c>
    </x:row>
    <x:row r="54">
      <x:c r="A54" s="13" t="str">
        <x:v>300866.SZ</x:v>
      </x:c>
      <x:c r="B54" s="13" t="str">
        <x:v>安克创新</x:v>
      </x:c>
      <x:c r="C54" s="13" t="str">
        <x:v>民营企业</x:v>
      </x:c>
      <x:c r="D54" s="13" t="str">
        <x:v>信息技术--硬件设备--电子设备、仪器和元件--电子元件</x:v>
      </x:c>
      <x:c r="E54" s="13" t="str">
        <x:v>硬件设备</x:v>
      </x:c>
      <x:c r="F54" s="13" t="n">
        <x:v>52051000</x:v>
      </x:c>
      <x:c r="G54" s="13" t="n">
        <x:v>2545132000</x:v>
      </x:c>
      <x:c r="H54" s="13" t="n">
        <x:v>20066893000</x:v>
      </x:c>
      <x:c r="I54" s="13" t="n">
        <x:v>27760000</x:v>
      </x:c>
      <x:c r="J54" s="13" t="n">
        <x:v>2114430000</x:v>
      </x:c>
      <x:c r="K54" s="13" t="n">
        <x:v>16603708000</x:v>
      </x:c>
      <x:c r="L54" s="13" t="n">
        <x:v>12776703000</x:v>
      </x:c>
      <x:c r="M54" s="13" t="n">
        <x:v>12367550000</x:v>
      </x:c>
      <x:c r="N54" s="13" t="n">
        <x:v>24710080000</x:v>
      </x:c>
      <x:c r="O54" s="13" t="n">
        <x:v>5901512000</x:v>
      </x:c>
      <x:c r="P54" s="13" t="n">
        <x:v>1658585000</x:v>
      </x:c>
      <x:c r="Q54" s="13" t="n">
        <x:v>7459188000</x:v>
      </x:c>
      <x:c r="R54" s="13" t="n">
        <x:v>428882000</x:v>
      </x:c>
      <x:c r="S54" s="13" t="n">
        <x:f>IFERROR((G54+F54)/H54,"")</x:f>
        <x:v>0.1294262644446253</x:v>
      </x:c>
      <x:c r="T54" s="13" t="n">
        <x:f>IFERROR(LN(K54),"")</x:f>
        <x:v>23.53289188085874</x:v>
      </x:c>
      <x:c r="U54" s="13" t="n">
        <x:f>IFERROR(N54/SUMIFS($N$2:$N$99,$E$2:$E$99,$E54),"")</x:f>
        <x:v>0.05009765024562846</x:v>
      </x:c>
      <x:c r="V54" s="13" t="n">
        <x:f>IFERROR(U54^2,"")</x:f>
        <x:v>0.0025097745601333175</x:v>
      </x:c>
      <x:c r="W54" s="13" t="n">
        <x:f>IFERROR(SUMIFS($V$2:$V$99,$E$2:$E$99,$E54),"")</x:f>
        <x:v>0.12235054081259594</x:v>
      </x:c>
      <x:c r="X54" s="13" t="n">
        <x:f>IFERROR(N54/AVERAGE(K54,L54),"")</x:f>
        <x:v>1.68207857949979</x:v>
      </x:c>
      <x:c r="Y54" s="13" t="n">
        <x:f>IFERROR((M54-O54)/K54,"")</x:f>
        <x:v>0.3894333723527299</x:v>
      </x:c>
      <x:c r="Z54" s="13" t="n">
        <x:f>IFERROR(P54/K54,"")</x:f>
        <x:v>0.0998924457115242</x:v>
      </x:c>
      <x:c r="AA54" s="13" t="n">
        <x:f>IFERROR(Q54/K54,"")</x:f>
        <x:v>0.44924832453088187</x:v>
      </x:c>
      <x:c r="AB54" s="13" t="n">
        <x:f>IFERROR(M54/O54,"")</x:f>
        <x:v>2.0956578585284587</x:v>
      </x:c>
      <x:c r="AC54" s="13" t="n">
        <x:f>IFERROR(R54/K54,"")</x:f>
        <x:v>0.02583049521227427</x:v>
      </x:c>
    </x:row>
    <x:row r="55">
      <x:c r="A55" s="13" t="str">
        <x:v>300896.SZ</x:v>
      </x:c>
      <x:c r="B55" s="13" t="str">
        <x:v>爱美客</x:v>
      </x:c>
      <x:c r="C55" s="13" t="str">
        <x:v>民营企业</x:v>
      </x:c>
      <x:c r="D55" s="13" t="str">
        <x:v>医疗保健--医药生物--生物科技Ⅲ--生物科技Ⅳ</x:v>
      </x:c>
      <x:c r="E55" s="13" t="str">
        <x:v>医药生物</x:v>
      </x:c>
      <x:c r="F55" s="13" t="n">
        <x:v>7502332.93</x:v>
      </x:c>
      <x:c r="G55" s="13" t="n">
        <x:v>1291017682.24</x:v>
      </x:c>
      <x:c r="H55" s="13" t="n">
        <x:v>8908047716.98</x:v>
      </x:c>
      <x:c r="I55" s="13" t="n">
        <x:v>-31276290.06</x:v>
      </x:c>
      <x:c r="J55" s="13" t="n">
        <x:v>1957596837.74</x:v>
      </x:c>
      <x:c r="K55" s="13" t="n">
        <x:v>8340486256.64</x:v>
      </x:c>
      <x:c r="L55" s="13" t="n">
        <x:v>6852360636.01</x:v>
      </x:c>
      <x:c r="M55" s="13" t="n">
        <x:v>5045159392.48</x:v>
      </x:c>
      <x:c r="N55" s="13" t="n">
        <x:v>3005648760.38</x:v>
      </x:c>
      <x:c r="O55" s="13" t="n">
        <x:v>343912196.01</x:v>
      </x:c>
      <x:c r="P55" s="13" t="n">
        <x:v>479735485.72</x:v>
      </x:c>
      <x:c r="Q55" s="13" t="n">
        <x:v>390369243.72</x:v>
      </x:c>
      <x:c r="R55" s="13" t="n">
        <x:v>239244840.24</x:v>
      </x:c>
      <x:c r="S55" s="13" t="n">
        <x:f>IFERROR((G55+F55)/H55,"")</x:f>
        <x:v>0.14576931516597483</x:v>
      </x:c>
      <x:c r="T55" s="13" t="n">
        <x:f>IFERROR(LN(K55),"")</x:f>
        <x:v>22.844387355770923</x:v>
      </x:c>
      <x:c r="U55" s="13" t="n">
        <x:f>IFERROR(N55/SUMIFS($N$2:$N$99,$E$2:$E$99,$E55),"")</x:f>
        <x:v>0.01452754395898557</x:v>
      </x:c>
      <x:c r="V55" s="13" t="n">
        <x:f>IFERROR(U55^2,"")</x:f>
        <x:v>0.00021104953348025814</x:v>
      </x:c>
      <x:c r="W55" s="13" t="n">
        <x:f>IFERROR(SUMIFS($V$2:$V$99,$E$2:$E$99,$E55),"")</x:f>
        <x:v>0.13623235092080122</x:v>
      </x:c>
      <x:c r="X55" s="13" t="n">
        <x:f>IFERROR(N55/AVERAGE(K55,L55),"")</x:f>
        <x:v>0.3956663002816244</x:v>
      </x:c>
      <x:c r="Y55" s="13" t="n">
        <x:f>IFERROR((M55-O55)/K55,"")</x:f>
        <x:v>0.5636658405530323</x:v>
      </x:c>
      <x:c r="Z55" s="13" t="n">
        <x:f>IFERROR(P55/K55,"")</x:f>
        <x:v>0.057518886903994905</x:v>
      </x:c>
      <x:c r="AA55" s="13" t="n">
        <x:f>IFERROR(Q55/K55,"")</x:f>
        <x:v>0.04680413487993228</x:v>
      </x:c>
      <x:c r="AB55" s="13" t="n">
        <x:f>IFERROR(M55/O55,"")</x:f>
        <x:v>14.669905432296156</x:v>
      </x:c>
      <x:c r="AC55" s="13" t="n">
        <x:f>IFERROR(R55/K55,"")</x:f>
        <x:v>0.028684759242847885</x:v>
      </x:c>
    </x:row>
    <x:row r="56">
      <x:c r="A56" s="13" t="str">
        <x:v>301236.SZ</x:v>
      </x:c>
      <x:c r="B56" s="13" t="str">
        <x:v>软通动力</x:v>
      </x:c>
      <x:c r="C56" s="13" t="str">
        <x:v>民营企业</x:v>
      </x:c>
      <x:c r="D56" s="13" t="str">
        <x:v>信息技术--软件服务--信息技术服务--信息科技咨询与其它服务</x:v>
      </x:c>
      <x:c r="E56" s="13" t="str">
        <x:v>软件服务</x:v>
      </x:c>
      <x:c r="F56" s="13" t="n">
        <x:v>148030242.11</x:v>
      </x:c>
      <x:c r="G56" s="13" t="n">
        <x:v>206113321.54</x:v>
      </x:c>
      <x:c r="H56" s="13" t="n">
        <x:v>27413795767.81</x:v>
      </x:c>
      <x:c r="I56" s="13" t="n">
        <x:v>123632395.69</x:v>
      </x:c>
      <x:c r="J56" s="13" t="n">
        <x:v>180378471.38</x:v>
      </x:c>
      <x:c r="K56" s="13" t="n">
        <x:v>23181406235.97</x:v>
      </x:c>
      <x:c r="L56" s="13" t="n">
        <x:v>15617529162.45</x:v>
      </x:c>
      <x:c r="M56" s="13" t="n">
        <x:v>18913450563.62</x:v>
      </x:c>
      <x:c r="N56" s="13" t="n">
        <x:v>31168612895.05</x:v>
      </x:c>
      <x:c r="O56" s="13" t="n">
        <x:v>10004590978.43</x:v>
      </x:c>
      <x:c r="P56" s="13" t="n">
        <x:v>1288821134.23</x:v>
      </x:c>
      <x:c r="Q56" s="13" t="n">
        <x:v>12515729186.38</x:v>
      </x:c>
      <x:c r="R56" s="13" t="n">
        <x:v>691615293.96</x:v>
      </x:c>
      <x:c r="S56" s="13" t="n">
        <x:f>IFERROR((G56+F56)/H56,"")</x:f>
        <x:v>0.012918443204638032</x:v>
      </x:c>
      <x:c r="T56" s="13" t="n">
        <x:f>IFERROR(LN(K56),"")</x:f>
        <x:v>23.866616338935515</x:v>
      </x:c>
      <x:c r="U56" s="13" t="n">
        <x:f>IFERROR(N56/SUMIFS($N$2:$N$99,$E$2:$E$99,$E56),"")</x:f>
        <x:v>0.36352896072789204</x:v>
      </x:c>
      <x:c r="V56" s="13" t="n">
        <x:f>IFERROR(U56^2,"")</x:f>
        <x:v>0.13215330528790126</x:v>
      </x:c>
      <x:c r="W56" s="13" t="n">
        <x:f>IFERROR(SUMIFS($V$2:$V$99,$E$2:$E$99,$E56),"")</x:f>
        <x:v>0.23288063539086398</x:v>
      </x:c>
      <x:c r="X56" s="13" t="n">
        <x:f>IFERROR(N56/AVERAGE(K56,L56),"")</x:f>
        <x:v>1.606673614880643</x:v>
      </x:c>
      <x:c r="Y56" s="13" t="n">
        <x:f>IFERROR((M56-O56)/K56,"")</x:f>
        <x:v>0.3843105760929355</x:v>
      </x:c>
      <x:c r="Z56" s="13" t="n">
        <x:f>IFERROR(P56/K56,"")</x:f>
        <x:v>0.05559719376429239</x:v>
      </x:c>
      <x:c r="AA56" s="13" t="n">
        <x:f>IFERROR(Q56/K56,"")</x:f>
        <x:v>0.539903794402242</x:v>
      </x:c>
      <x:c r="AB56" s="13" t="n">
        <x:f>IFERROR(M56/O56,"")</x:f>
        <x:v>1.8904771423836906</x:v>
      </x:c>
      <x:c r="AC56" s="13" t="n">
        <x:f>IFERROR(R56/K56,"")</x:f>
        <x:v>0.02983491540245035</x:v>
      </x:c>
    </x:row>
    <x:row r="57">
      <x:c r="A57" s="13" t="str">
        <x:v>600031.SH</x:v>
      </x:c>
      <x:c r="B57" s="13" t="str">
        <x:v>三一重工</x:v>
      </x:c>
      <x:c r="C57" s="13" t="str">
        <x:v>民营企业</x:v>
      </x:c>
      <x:c r="D57" s="13" t="str">
        <x:v>工业--机械--机械Ⅲ--建筑机械与重型卡车</x:v>
      </x:c>
      <x:c r="E57" s="13" t="str">
        <x:v>机械</x:v>
      </x:c>
      <x:c r="F57" s="13" t="n">
        <x:v>568877000</x:v>
      </x:c>
      <x:c r="G57" s="13" t="n">
        <x:v>8408057000</x:v>
      </x:c>
      <x:c r="H57" s="13" t="n">
        <x:v>173299138000</x:v>
      </x:c>
      <x:c r="I57" s="13" t="n">
        <x:v>845080000</x:v>
      </x:c>
      <x:c r="J57" s="13" t="n">
        <x:v>5975451000</x:v>
      </x:c>
      <x:c r="K57" s="13" t="n">
        <x:v>152145076000</x:v>
      </x:c>
      <x:c r="L57" s="13" t="n">
        <x:v>151203358000</x:v>
      </x:c>
      <x:c r="M57" s="13" t="n">
        <x:v>101505319000</x:v>
      </x:c>
      <x:c r="N57" s="13" t="n">
        <x:v>78383379000</x:v>
      </x:c>
      <x:c r="O57" s="13" t="n">
        <x:v>63669228000</x:v>
      </x:c>
      <x:c r="P57" s="13" t="n">
        <x:v>23686341000</x:v>
      </x:c>
      <x:c r="Q57" s="13" t="n">
        <x:v>79143477000</x:v>
      </x:c>
      <x:c r="R57" s="13" t="n">
        <x:v>2938287000</x:v>
      </x:c>
      <x:c r="S57" s="13" t="n">
        <x:f>IFERROR((G57+F57)/H57,"")</x:f>
        <x:v>0.051800223034000316</x:v>
      </x:c>
      <x:c r="T57" s="13" t="n">
        <x:f>IFERROR(LN(K57),"")</x:f>
        <x:v>25.748100349965835</x:v>
      </x:c>
      <x:c r="U57" s="13" t="n">
        <x:f>IFERROR(N57/SUMIFS($N$2:$N$99,$E$2:$E$99,$E57),"")</x:f>
        <x:v>0.6778798107971808</x:v>
      </x:c>
      <x:c r="V57" s="13" t="n">
        <x:f>IFERROR(U57^2,"")</x:f>
        <x:v>0.4595210378864217</x:v>
      </x:c>
      <x:c r="W57" s="13" t="n">
        <x:f>IFERROR(SUMIFS($V$2:$V$99,$E$2:$E$99,$E57),"")</x:f>
        <x:v>0.5244055085518771</x:v>
      </x:c>
      <x:c r="X57" s="13" t="n">
        <x:f>IFERROR(N57/AVERAGE(K57,L57),"")</x:f>
        <x:v>0.51678776096797</x:v>
      </x:c>
      <x:c r="Y57" s="13" t="n">
        <x:f>IFERROR((M57-O57)/K57,"")</x:f>
        <x:v>0.2486842952446256</x:v>
      </x:c>
      <x:c r="Z57" s="13" t="n">
        <x:f>IFERROR(P57/K57,"")</x:f>
        <x:v>0.15568259994165043</x:v>
      </x:c>
      <x:c r="AA57" s="13" t="n">
        <x:f>IFERROR(Q57/K57,"")</x:f>
        <x:v>0.5201842812185391</x:v>
      </x:c>
      <x:c r="AB57" s="13" t="n">
        <x:f>IFERROR(M57/O57,"")</x:f>
        <x:v>1.5942602445250318</x:v>
      </x:c>
      <x:c r="AC57" s="13" t="n">
        <x:f>IFERROR(R57/K57,"")</x:f>
        <x:v>0.01931240285423368</x:v>
      </x:c>
    </x:row>
    <x:row r="58">
      <x:c r="A58" s="13" t="str">
        <x:v>600066.SH</x:v>
      </x:c>
      <x:c r="B58" s="13" t="str">
        <x:v>宇通客车</x:v>
      </x:c>
      <x:c r="C58" s="13" t="str">
        <x:v>民营企业</x:v>
      </x:c>
      <x:c r="D58" s="13" t="str">
        <x:v>可选消费--汽车与零配件--汽车--汽车制造</x:v>
      </x:c>
      <x:c r="E58" s="13" t="str">
        <x:v>汽车与零配件</x:v>
      </x:c>
      <x:c r="F58" s="13" t="n">
        <x:v>42142501.83</x:v>
      </x:c>
      <x:c r="G58" s="13" t="n">
        <x:v>5554481970.9</x:v>
      </x:c>
      <x:c r="H58" s="13" t="n">
        <x:v>32990246148.33</x:v>
      </x:c>
      <x:c r="I58" s="13" t="n">
        <x:v>-98391390.33</x:v>
      </x:c>
      <x:c r="J58" s="13" t="n">
        <x:v>4116194422.5</x:v>
      </x:c>
      <x:c r="K58" s="13" t="n">
        <x:v>32150894481.86</x:v>
      </x:c>
      <x:c r="L58" s="13" t="n">
        <x:v>30856955973.42</x:v>
      </x:c>
      <x:c r="M58" s="13" t="n">
        <x:v>21031107509.19</x:v>
      </x:c>
      <x:c r="N58" s="13" t="n">
        <x:v>36767928693.66</x:v>
      </x:c>
      <x:c r="O58" s="13" t="n">
        <x:v>14489218998.5</x:v>
      </x:c>
      <x:c r="P58" s="13" t="n">
        <x:v>3802173072.54</x:v>
      </x:c>
      <x:c r="Q58" s="13" t="n">
        <x:v>18493383044.78</x:v>
      </x:c>
      <x:c r="R58" s="13" t="n">
        <x:v>695759304.83</x:v>
      </x:c>
      <x:c r="S58" s="13" t="n">
        <x:f>IFERROR((G58+F58)/H58,"")</x:f>
        <x:v>0.16964482312640478</x:v>
      </x:c>
      <x:c r="T58" s="13" t="n">
        <x:f>IFERROR(LN(K58),"")</x:f>
        <x:v>24.193706109384845</x:v>
      </x:c>
      <x:c r="U58" s="13" t="n">
        <x:f>IFERROR(N58/SUMIFS($N$2:$N$99,$E$2:$E$99,$E58),"")</x:f>
        <x:v>0.03082302957797348</x:v>
      </x:c>
      <x:c r="V58" s="13" t="n">
        <x:f>IFERROR(U58^2,"")</x:f>
        <x:v>0.000950059152364628</x:v>
      </x:c>
      <x:c r="W58" s="13" t="n">
        <x:f>IFERROR(SUMIFS($V$2:$V$99,$E$2:$E$99,$E58),"")</x:f>
        <x:v>0.4695797494099714</x:v>
      </x:c>
      <x:c r="X58" s="13" t="n">
        <x:f>IFERROR(N58/AVERAGE(K58,L58),"")</x:f>
        <x:v>1.167090399941707</x:v>
      </x:c>
      <x:c r="Y58" s="13" t="n">
        <x:f>IFERROR((M58-O58)/K58,"")</x:f>
        <x:v>0.20347454141224677</x:v>
      </x:c>
      <x:c r="Z58" s="13" t="n">
        <x:f>IFERROR(P58/K58,"")</x:f>
        <x:v>0.11826025788132398</x:v>
      </x:c>
      <x:c r="AA58" s="13" t="n">
        <x:f>IFERROR(Q58/K58,"")</x:f>
        <x:v>0.5752058641856522</x:v>
      </x:c>
      <x:c r="AB58" s="13" t="n">
        <x:f>IFERROR(M58/O58,"")</x:f>
        <x:v>1.4515004232710713</x:v>
      </x:c>
      <x:c r="AC58" s="13" t="n">
        <x:f>IFERROR(R58/K58,"")</x:f>
        <x:v>0.021640433836842627</x:v>
      </x:c>
    </x:row>
    <x:row r="59">
      <x:c r="A59" s="13" t="str">
        <x:v>600089.SH</x:v>
      </x:c>
      <x:c r="B59" s="13" t="str">
        <x:v>特变电工</x:v>
      </x:c>
      <x:c r="C59" s="13" t="str">
        <x:v>民营企业</x:v>
      </x:c>
      <x:c r="D59" s="13" t="str">
        <x:v>工业--电气设备--电气设备Ⅲ--电气部件与设备</x:v>
      </x:c>
      <x:c r="E59" s="13" t="str">
        <x:v>电气设备</x:v>
      </x:c>
      <x:c r="F59" s="13" t="n">
        <x:v>1564402831.35</x:v>
      </x:c>
      <x:c r="G59" s="13" t="n">
        <x:v>5954294958.25</x:v>
      </x:c>
      <x:c r="H59" s="13" t="n">
        <x:v>227150381638.59</x:v>
      </x:c>
      <x:c r="I59" s="13" t="n">
        <x:v>1430662105.08</x:v>
      </x:c>
      <x:c r="J59" s="13" t="n">
        <x:v>4134755516.65</x:v>
      </x:c>
      <x:c r="K59" s="13" t="n">
        <x:v>207623323093.84</x:v>
      </x:c>
      <x:c r="L59" s="13" t="n">
        <x:v>191898316218.61</x:v>
      </x:c>
      <x:c r="M59" s="13" t="n">
        <x:v>83854019083.61</x:v>
      </x:c>
      <x:c r="N59" s="13" t="n">
        <x:v>96241552725.65</x:v>
      </x:c>
      <x:c r="O59" s="13" t="n">
        <x:v>73132898485.19</x:v>
      </x:c>
      <x:c r="P59" s="13" t="n">
        <x:v>96275883419.07</x:v>
      </x:c>
      <x:c r="Q59" s="13" t="n">
        <x:v>117580171565.97</x:v>
      </x:c>
      <x:c r="R59" s="13" t="n">
        <x:v>16957377752.13</x:v>
      </x:c>
      <x:c r="S59" s="13" t="n">
        <x:f>IFERROR((G59+F59)/H59,"")</x:f>
        <x:v>0.03310008874016643</x:v>
      </x:c>
      <x:c r="T59" s="13" t="n">
        <x:f>IFERROR(LN(K59),"")</x:f>
        <x:v>26.058991328237212</x:v>
      </x:c>
      <x:c r="U59" s="13" t="n">
        <x:f>IFERROR(N59/SUMIFS($N$2:$N$99,$E$2:$E$99,$E59),"")</x:f>
        <x:v>0.08555516651416831</x:v>
      </x:c>
      <x:c r="V59" s="13" t="n">
        <x:f>IFERROR(U59^2,"")</x:f>
        <x:v>0.007319686517267066</x:v>
      </x:c>
      <x:c r="W59" s="13" t="n">
        <x:f>IFERROR(SUMIFS($V$2:$V$99,$E$2:$E$99,$E59),"")</x:f>
        <x:v>0.14616578354193543</x:v>
      </x:c>
      <x:c r="X59" s="13" t="n">
        <x:f>IFERROR(N59/AVERAGE(K59,L59),"")</x:f>
        <x:v>0.48178392985809365</x:v>
      </x:c>
      <x:c r="Y59" s="13" t="n">
        <x:f>IFERROR((M59-O59)/K59,"")</x:f>
        <x:v>0.05163736153849319</x:v>
      </x:c>
      <x:c r="Z59" s="13" t="n">
        <x:f>IFERROR(P59/K59,"")</x:f>
        <x:v>0.4637045683714251</x:v>
      </x:c>
      <x:c r="AA59" s="13" t="n">
        <x:f>IFERROR(Q59/K59,"")</x:f>
        <x:v>0.5663148523676553</x:v>
      </x:c>
      <x:c r="AB59" s="13" t="n">
        <x:f>IFERROR(M59/O59,"")</x:f>
        <x:v>1.14659778048577</x:v>
      </x:c>
      <x:c r="AC59" s="13" t="n">
        <x:f>IFERROR(R59/K59,"")</x:f>
        <x:v>0.08167376140331659</x:v>
      </x:c>
    </x:row>
    <x:row r="60">
      <x:c r="A60" s="13" t="str">
        <x:v>600196.SH</x:v>
      </x:c>
      <x:c r="B60" s="13" t="str">
        <x:v>复星医药</x:v>
      </x:c>
      <x:c r="C60" s="13" t="str">
        <x:v>民营企业</x:v>
      </x:c>
      <x:c r="D60" s="13" t="str">
        <x:v>医疗保健--医药生物--制药--西药</x:v>
      </x:c>
      <x:c r="E60" s="13" t="str">
        <x:v>医药生物</x:v>
      </x:c>
      <x:c r="F60" s="13" t="n">
        <x:v>1265351000</x:v>
      </x:c>
      <x:c r="G60" s="13" t="n">
        <x:v>3370562000</x:v>
      </x:c>
      <x:c r="H60" s="13" t="n">
        <x:v>120015592000</x:v>
      </x:c>
      <x:c r="I60" s="13" t="n">
        <x:v>1431915000</x:v>
      </x:c>
      <x:c r="J60" s="13" t="n">
        <x:v>2769886000</x:v>
      </x:c>
      <x:c r="K60" s="13" t="n">
        <x:v>117422190000</x:v>
      </x:c>
      <x:c r="L60" s="13" t="n">
        <x:v>113431227000</x:v>
      </x:c>
      <x:c r="M60" s="13" t="n">
        <x:v>34491060000</x:v>
      </x:c>
      <x:c r="N60" s="13" t="n">
        <x:v>40909878000</x:v>
      </x:c>
      <x:c r="O60" s="13" t="n">
        <x:v>37452669000</x:v>
      </x:c>
      <x:c r="P60" s="13" t="n">
        <x:v>22001615000</x:v>
      </x:c>
      <x:c r="Q60" s="13" t="n">
        <x:v>57526838000</x:v>
      </x:c>
      <x:c r="R60" s="13" t="n">
        <x:v>4410191000</x:v>
      </x:c>
      <x:c r="S60" s="13" t="n">
        <x:f>IFERROR((G60+F60)/H60,"")</x:f>
        <x:v>0.038627589321894105</x:v>
      </x:c>
      <x:c r="T60" s="13" t="n">
        <x:f>IFERROR(LN(K60),"")</x:f>
        <x:v>25.489041738404946</x:v>
      </x:c>
      <x:c r="U60" s="13" t="n">
        <x:f>IFERROR(N60/SUMIFS($N$2:$N$99,$E$2:$E$99,$E60),"")</x:f>
        <x:v>0.1977343656504287</x:v>
      </x:c>
      <x:c r="V60" s="13" t="n">
        <x:f>IFERROR(U60^2,"")</x:f>
        <x:v>0.03909887935917744</x:v>
      </x:c>
      <x:c r="W60" s="13" t="n">
        <x:f>IFERROR(SUMIFS($V$2:$V$99,$E$2:$E$99,$E60),"")</x:f>
        <x:v>0.13623235092080122</x:v>
      </x:c>
      <x:c r="X60" s="13" t="n">
        <x:f>IFERROR(N60/AVERAGE(K60,L60),"")</x:f>
        <x:v>0.3544229800159293</x:v>
      </x:c>
      <x:c r="Y60" s="13" t="n">
        <x:f>IFERROR((M60-O60)/K60,"")</x:f>
        <x:v>-0.02522188523310628</x:v>
      </x:c>
      <x:c r="Z60" s="13" t="n">
        <x:f>IFERROR(P60/K60,"")</x:f>
        <x:v>0.18737186727653435</x:v>
      </x:c>
      <x:c r="AA60" s="13" t="n">
        <x:f>IFERROR(Q60/K60,"")</x:f>
        <x:v>0.48991453829978815</x:v>
      </x:c>
      <x:c r="AB60" s="13" t="n">
        <x:f>IFERROR(M60/O60,"")</x:f>
        <x:v>0.9209239533769943</x:v>
      </x:c>
      <x:c r="AC60" s="13" t="n">
        <x:f>IFERROR(R60/K60,"")</x:f>
        <x:v>0.037558412085484015</x:v>
      </x:c>
    </x:row>
    <x:row r="61">
      <x:c r="A61" s="13" t="str">
        <x:v>600233.SH</x:v>
      </x:c>
      <x:c r="B61" s="13" t="str">
        <x:v>圆通速递</x:v>
      </x:c>
      <x:c r="C61" s="13" t="str">
        <x:v>民营企业</x:v>
      </x:c>
      <x:c r="D61" s="13" t="str">
        <x:v>工业--交通运输--航空运输--航空货运与物流</x:v>
      </x:c>
      <x:c r="E61" s="13" t="str">
        <x:v>交通运输</x:v>
      </x:c>
      <x:c r="F61" s="13" t="n">
        <x:v>46201941.55</x:v>
      </x:c>
      <x:c r="G61" s="13" t="n">
        <x:v>4322350576.04</x:v>
      </x:c>
      <x:c r="H61" s="13" t="n">
        <x:v>54177859555.9</x:v>
      </x:c>
      <x:c r="I61" s="13" t="n">
        <x:v>120206387.52</x:v>
      </x:c>
      <x:c r="J61" s="13" t="n">
        <x:v>4012333934.96</x:v>
      </x:c>
      <x:c r="K61" s="13" t="n">
        <x:v>48294063910</x:v>
      </x:c>
      <x:c r="L61" s="13" t="n">
        <x:v>43367039940.92</x:v>
      </x:c>
      <x:c r="M61" s="13" t="n">
        <x:v>15238484896</x:v>
      </x:c>
      <x:c r="N61" s="13" t="n">
        <x:v>68774014137.86</x:v>
      </x:c>
      <x:c r="O61" s="13" t="n">
        <x:v>13754946715.12</x:v>
      </x:c>
      <x:c r="P61" s="13" t="n">
        <x:v>23539630718.97</x:v>
      </x:c>
      <x:c r="Q61" s="13" t="n">
        <x:v>16085981310.78</x:v>
      </x:c>
      <x:c r="R61" s="13" t="n">
        <x:v>6768343060.85</x:v>
      </x:c>
      <x:c r="S61" s="13" t="n">
        <x:f>IFERROR((G61+F61)/H61,"")</x:f>
        <x:v>0.08063353837525798</x:v>
      </x:c>
      <x:c r="T61" s="13" t="n">
        <x:f>IFERROR(LN(K61),"")</x:f>
        <x:v>24.600574489637985</x:v>
      </x:c>
      <x:c r="U61" s="13" t="n">
        <x:f>IFERROR(N61/SUMIFS($N$2:$N$99,$E$2:$E$99,$E61),"")</x:f>
        <x:v>0.18430383484706714</x:v>
      </x:c>
      <x:c r="V61" s="13" t="n">
        <x:f>IFERROR(U61^2,"")</x:f>
        <x:v>0.033967903539335</x:v>
      </x:c>
      <x:c r="W61" s="13" t="n">
        <x:f>IFERROR(SUMIFS($V$2:$V$99,$E$2:$E$99,$E61),"")</x:f>
        <x:v>0.6177817572282329</x:v>
      </x:c>
      <x:c r="X61" s="13" t="n">
        <x:f>IFERROR(N61/AVERAGE(K61,L61),"")</x:f>
        <x:v>1.5006150100421187</x:v>
      </x:c>
      <x:c r="Y61" s="13" t="n">
        <x:f>IFERROR((M61-O61)/K61,"")</x:f>
        <x:v>0.030718851568273395</x:v>
      </x:c>
      <x:c r="Z61" s="13" t="n">
        <x:f>IFERROR(P61/K61,"")</x:f>
        <x:v>0.4874228593153407</x:v>
      </x:c>
      <x:c r="AA61" s="13" t="n">
        <x:f>IFERROR(Q61/K61,"")</x:f>
        <x:v>0.33308402748539784</x:v>
      </x:c>
      <x:c r="AB61" s="13" t="n">
        <x:f>IFERROR(M61/O61,"")</x:f>
        <x:v>1.1078548838905522</x:v>
      </x:c>
      <x:c r="AC61" s="13" t="n">
        <x:f>IFERROR(R61/K61,"")</x:f>
        <x:v>0.14014855062649872</x:v>
      </x:c>
    </x:row>
    <x:row r="62">
      <x:c r="A62" s="13" t="str">
        <x:v>600276.SH</x:v>
      </x:c>
      <x:c r="B62" s="13" t="str">
        <x:v>恒瑞医药</x:v>
      </x:c>
      <x:c r="C62" s="13" t="str">
        <x:v>民营企业</x:v>
      </x:c>
      <x:c r="D62" s="13" t="str">
        <x:v>医疗保健--医药生物--制药--西药</x:v>
      </x:c>
      <x:c r="E62" s="13" t="str">
        <x:v>医药生物</x:v>
      </x:c>
      <x:c r="F62" s="13" t="n">
        <x:v>14349000</x:v>
      </x:c>
      <x:c r="G62" s="13" t="n">
        <x:v>7711055000</x:v>
      </x:c>
      <x:c r="H62" s="13" t="n">
        <x:v>69867316000</x:v>
      </x:c>
      <x:c r="I62" s="13" t="n">
        <x:v>5559000</x:v>
      </x:c>
      <x:c r="J62" s="13" t="n">
        <x:v>6336527000</x:v>
      </x:c>
      <x:c r="K62" s="13" t="n">
        <x:v>50135644000</x:v>
      </x:c>
      <x:c r="L62" s="13" t="n">
        <x:v>43784507000</x:v>
      </x:c>
      <x:c r="M62" s="13" t="n">
        <x:v>35314927000</x:v>
      </x:c>
      <x:c r="N62" s="13" t="n">
        <x:v>27984605000</x:v>
      </x:c>
      <x:c r="O62" s="13" t="n">
        <x:v>3633595000</x:v>
      </x:c>
      <x:c r="P62" s="13" t="n">
        <x:v>7094142000</x:v>
      </x:c>
      <x:c r="Q62" s="13" t="n">
        <x:v>4045393000</x:v>
      </x:c>
      <x:c r="R62" s="13" t="n">
        <x:v>1969198000</x:v>
      </x:c>
      <x:c r="S62" s="13" t="n">
        <x:f>IFERROR((G62+F62)/H62,"")</x:f>
        <x:v>0.11057250288532623</x:v>
      </x:c>
      <x:c r="T62" s="13" t="n">
        <x:f>IFERROR(LN(K62),"")</x:f>
        <x:v>24.637998049157442</x:v>
      </x:c>
      <x:c r="U62" s="13" t="n">
        <x:f>IFERROR(N62/SUMIFS($N$2:$N$99,$E$2:$E$99,$E62),"")</x:f>
        <x:v>0.13526117378430744</x:v>
      </x:c>
      <x:c r="V62" s="13" t="n">
        <x:f>IFERROR(U62^2,"")</x:f>
        <x:v>0.018295585133508617</x:v>
      </x:c>
      <x:c r="W62" s="13" t="n">
        <x:f>IFERROR(SUMIFS($V$2:$V$99,$E$2:$E$99,$E62),"")</x:f>
        <x:v>0.13623235092080122</x:v>
      </x:c>
      <x:c r="X62" s="13" t="n">
        <x:f>IFERROR(N62/AVERAGE(K62,L62),"")</x:f>
        <x:v>0.595923339177766</x:v>
      </x:c>
      <x:c r="Y62" s="13" t="n">
        <x:f>IFERROR((M62-O62)/K62,"")</x:f>
        <x:v>0.631912337657416</x:v>
      </x:c>
      <x:c r="Z62" s="13" t="n">
        <x:f>IFERROR(P62/K62,"")</x:f>
        <x:v>0.14149897027352437</x:v>
      </x:c>
      <x:c r="AA62" s="13" t="n">
        <x:f>IFERROR(Q62/K62,"")</x:f>
        <x:v>0.08068896053274992</x:v>
      </x:c>
      <x:c r="AB62" s="13" t="n">
        <x:f>IFERROR(M62/O62,"")</x:f>
        <x:v>9.719004732228</x:v>
      </x:c>
      <x:c r="AC62" s="13" t="n">
        <x:f>IFERROR(R62/K62,"")</x:f>
        <x:v>0.03927740511321646</x:v>
      </x:c>
    </x:row>
    <x:row r="63">
      <x:c r="A63" s="13" t="str">
        <x:v>600346.SH</x:v>
      </x:c>
      <x:c r="B63" s="13" t="str">
        <x:v>恒力石化</x:v>
      </x:c>
      <x:c r="C63" s="13" t="str">
        <x:v>民营企业</x:v>
      </x:c>
      <x:c r="D63" s="13" t="str">
        <x:v>能源--石油石化--石油天然气--石油天然气炼制和销售</x:v>
      </x:c>
      <x:c r="E63" s="13" t="str">
        <x:v>石油石化</x:v>
      </x:c>
      <x:c r="F63" s="13" t="n">
        <x:v>4383391966</x:v>
      </x:c>
      <x:c r="G63" s="13" t="n">
        <x:v>7074582387.53</x:v>
      </x:c>
      <x:c r="H63" s="13" t="n">
        <x:v>262258989534.38</x:v>
      </x:c>
      <x:c r="I63" s="13" t="n">
        <x:v>5233634108.25</x:v>
      </x:c>
      <x:c r="J63" s="13" t="n">
        <x:v>7043568223.6</x:v>
      </x:c>
      <x:c r="K63" s="13" t="n">
        <x:v>273082869863.4</x:v>
      </x:c>
      <x:c r="L63" s="13" t="n">
        <x:v>260599020914.55</x:v>
      </x:c>
      <x:c r="M63" s="13" t="n">
        <x:v>73269556146.66</x:v>
      </x:c>
      <x:c r="N63" s="13" t="n">
        <x:v>229849668623.04</x:v>
      </x:c>
      <x:c r="O63" s="13" t="n">
        <x:v>130879306067.05</x:v>
      </x:c>
      <x:c r="P63" s="13" t="n">
        <x:v>185402272543.31</x:v>
      </x:c>
      <x:c r="Q63" s="13" t="n">
        <x:v>209665307046.16</x:v>
      </x:c>
      <x:c r="R63" s="13" t="n">
        <x:v>21814133827.51</x:v>
      </x:c>
      <x:c r="S63" s="13" t="n">
        <x:f>IFERROR((G63+F63)/H63,"")</x:f>
        <x:v>0.04368953900826325</x:v>
      </x:c>
      <x:c r="T63" s="13" t="n">
        <x:f>IFERROR(LN(K63),"")</x:f>
        <x:v>26.333041138681786</x:v>
      </x:c>
      <x:c r="U63" s="13" t="n">
        <x:f>IFERROR(N63/SUMIFS($N$2:$N$99,$E$2:$E$99,$E63),"")</x:f>
        <x:v>1</x:v>
      </x:c>
      <x:c r="V63" s="13" t="n">
        <x:f>IFERROR(U63^2,"")</x:f>
        <x:v>1</x:v>
      </x:c>
      <x:c r="W63" s="13" t="n">
        <x:f>IFERROR(SUMIFS($V$2:$V$99,$E$2:$E$99,$E63),"")</x:f>
        <x:v>1</x:v>
      </x:c>
      <x:c r="X63" s="13" t="n">
        <x:f>IFERROR(N63/AVERAGE(K63,L63),"")</x:f>
        <x:v>0.8613733109361734</x:v>
      </x:c>
      <x:c r="Y63" s="13" t="n">
        <x:f>IFERROR((M63-O63)/K63,"")</x:f>
        <x:v>-0.21096068731519935</x:v>
      </x:c>
      <x:c r="Z63" s="13" t="n">
        <x:f>IFERROR(P63/K63,"")</x:f>
        <x:v>0.6789231145697674</x:v>
      </x:c>
      <x:c r="AA63" s="13" t="n">
        <x:f>IFERROR(Q63/K63,"")</x:f>
        <x:v>0.7677717286003243</x:v>
      </x:c>
      <x:c r="AB63" s="13" t="n">
        <x:f>IFERROR(M63/O63,"")</x:f>
        <x:v>0.5598253715459319</x:v>
      </x:c>
      <x:c r="AC63" s="13" t="n">
        <x:f>IFERROR(R63/K63,"")</x:f>
        <x:v>0.07988100402790459</x:v>
      </x:c>
    </x:row>
    <x:row r="64">
      <x:c r="A64" s="13" t="str">
        <x:v>600438.SH</x:v>
      </x:c>
      <x:c r="B64" s="13" t="str">
        <x:v>通威股份</x:v>
      </x:c>
      <x:c r="C64" s="13" t="str">
        <x:v>民营企业</x:v>
      </x:c>
      <x:c r="D64" s="13" t="str">
        <x:v>工业--电气设备--电气设备Ⅲ--光伏设备</x:v>
      </x:c>
      <x:c r="E64" s="13" t="str">
        <x:v>电气设备</x:v>
      </x:c>
      <x:c r="F64" s="13" t="n">
        <x:v>2717686625.59</x:v>
      </x:c>
      <x:c r="G64" s="13" t="n">
        <x:v>-9553425884.06</x:v>
      </x:c>
      <x:c r="H64" s="13" t="n">
        <x:v>187779256397.63</x:v>
      </x:c>
      <x:c r="I64" s="13" t="n">
        <x:v>2002478504.24</x:v>
      </x:c>
      <x:c r="J64" s="13" t="n">
        <x:v>-7038757392.54</x:v>
      </x:c>
      <x:c r="K64" s="13" t="n">
        <x:v>195916763061.99</x:v>
      </x:c>
      <x:c r="L64" s="13" t="n">
        <x:v>164363161459.66</x:v>
      </x:c>
      <x:c r="M64" s="13" t="n">
        <x:v>66192918621.75</x:v>
      </x:c>
      <x:c r="N64" s="13" t="n">
        <x:v>91551949878.92</x:v>
      </x:c>
      <x:c r="O64" s="13" t="n">
        <x:v>56538075361.44</x:v>
      </x:c>
      <x:c r="P64" s="13" t="n">
        <x:v>107275734799.87</x:v>
      </x:c>
      <x:c r="Q64" s="13" t="n">
        <x:v>137997611563.26</x:v>
      </x:c>
      <x:c r="R64" s="13" t="n">
        <x:v>28388183026.94</x:v>
      </x:c>
      <x:c r="S64" s="13" t="n">
        <x:f>IFERROR((G64+F64)/H64,"")</x:f>
        <x:v>-0.03640305851459466</x:v>
      </x:c>
      <x:c r="T64" s="13" t="n">
        <x:f>IFERROR(LN(K64),"")</x:f>
        <x:v>26.000955727720427</x:v>
      </x:c>
      <x:c r="U64" s="13" t="n">
        <x:f>IFERROR(N64/SUMIFS($N$2:$N$99,$E$2:$E$99,$E64),"")</x:f>
        <x:v>0.08138628372836128</x:v>
      </x:c>
      <x:c r="V64" s="13" t="n">
        <x:f>IFERROR(U64^2,"")</x:f>
        <x:v>0.006623727179113323</x:v>
      </x:c>
      <x:c r="W64" s="13" t="n">
        <x:f>IFERROR(SUMIFS($V$2:$V$99,$E$2:$E$99,$E64),"")</x:f>
        <x:v>0.14616578354193543</x:v>
      </x:c>
      <x:c r="X64" s="13" t="n">
        <x:f>IFERROR(N64/AVERAGE(K64,L64),"")</x:f>
        <x:v>0.5082267628454465</x:v>
      </x:c>
      <x:c r="Y64" s="13" t="n">
        <x:f>IFERROR((M64-O64)/K64,"")</x:f>
        <x:v>0.04928033267503052</x:v>
      </x:c>
      <x:c r="Z64" s="13" t="n">
        <x:f>IFERROR(P64/K64,"")</x:f>
        <x:v>0.5475577134046814</x:v>
      </x:c>
      <x:c r="AA64" s="13" t="n">
        <x:f>IFERROR(Q64/K64,"")</x:f>
        <x:v>0.7043685767694937</x:v>
      </x:c>
      <x:c r="AB64" s="13" t="n">
        <x:f>IFERROR(M64/O64,"")</x:f>
        <x:v>1.1707671016140528</x:v>
      </x:c>
      <x:c r="AC64" s="13" t="n">
        <x:f>IFERROR(R64/K64,"")</x:f>
        <x:v>0.14489920404594323</x:v>
      </x:c>
    </x:row>
    <x:row r="65">
      <x:c r="A65" s="13" t="str">
        <x:v>600460.SH</x:v>
      </x:c>
      <x:c r="B65" s="13" t="str">
        <x:v>士兰微</x:v>
      </x:c>
      <x:c r="C65" s="13" t="str">
        <x:v>民营企业</x:v>
      </x:c>
      <x:c r="D65" s="13" t="str">
        <x:v>信息技术--半导体--半导体产品--分立器件</x:v>
      </x:c>
      <x:c r="E65" s="13" t="str">
        <x:v>半导体</x:v>
      </x:c>
      <x:c r="F65" s="13" t="n">
        <x:v>193368396.4</x:v>
      </x:c>
      <x:c r="G65" s="13" t="n">
        <x:v>398550840.03</x:v>
      </x:c>
      <x:c r="H65" s="13" t="n">
        <x:v>26768101138.87</x:v>
      </x:c>
      <x:c r="I65" s="13" t="n">
        <x:v>201965644.62</x:v>
      </x:c>
      <x:c r="J65" s="13" t="n">
        <x:v>219867848.47</x:v>
      </x:c>
      <x:c r="K65" s="13" t="n">
        <x:v>24796971085.75</x:v>
      </x:c>
      <x:c r="L65" s="13" t="n">
        <x:v>23907585687.76</x:v>
      </x:c>
      <x:c r="M65" s="13" t="n">
        <x:v>13351023940.07</x:v>
      </x:c>
      <x:c r="N65" s="13" t="n">
        <x:v>11168154320.14</x:v>
      </x:c>
      <x:c r="O65" s="13" t="n">
        <x:v>7184827200.73</x:v>
      </x:c>
      <x:c r="P65" s="13" t="n">
        <x:v>8676675543.13</x:v>
      </x:c>
      <x:c r="Q65" s="13" t="n">
        <x:v>10973389039.13</x:v>
      </x:c>
      <x:c r="R65" s="13" t="n">
        <x:v>1681179247.18</x:v>
      </x:c>
      <x:c r="S65" s="13" t="n">
        <x:f>IFERROR((G65+F65)/H65,"")</x:f>
        <x:v>0.022112858635701775</x:v>
      </x:c>
      <x:c r="T65" s="13" t="n">
        <x:f>IFERROR(LN(K65),"")</x:f>
        <x:v>23.933987349019315</x:v>
      </x:c>
      <x:c r="U65" s="13" t="n">
        <x:f>IFERROR(N65/SUMIFS($N$2:$N$99,$E$2:$E$99,$E65),"")</x:f>
        <x:v>0.19646234232285345</x:v>
      </x:c>
      <x:c r="V65" s="13" t="n">
        <x:f>IFERROR(U65^2,"")</x:f>
        <x:v>0.038597451950982055</x:v>
      </x:c>
      <x:c r="W65" s="13" t="n">
        <x:f>IFERROR(SUMIFS($V$2:$V$99,$E$2:$E$99,$E65),"")</x:f>
        <x:v>0.27301628783410753</x:v>
      </x:c>
      <x:c r="X65" s="13" t="n">
        <x:f>IFERROR(N65/AVERAGE(K65,L65),"")</x:f>
        <x:v>0.45860819027981653</x:v>
      </x:c>
      <x:c r="Y65" s="13" t="n">
        <x:f>IFERROR((M65-O65)/K65,"")</x:f>
        <x:v>0.24866733594263493</x:v>
      </x:c>
      <x:c r="Z65" s="13" t="n">
        <x:f>IFERROR(P65/K65,"")</x:f>
        <x:v>0.34990868494080707</x:v>
      </x:c>
      <x:c r="AA65" s="13" t="n">
        <x:f>IFERROR(Q65/K65,"")</x:f>
        <x:v>0.4425294122085759</x:v>
      </x:c>
      <x:c r="AB65" s="13" t="n">
        <x:f>IFERROR(M65/O65,"")</x:f>
        <x:v>1.8582247793953202</x:v>
      </x:c>
      <x:c r="AC65" s="13" t="n">
        <x:f>IFERROR(R65/K65,"")</x:f>
        <x:v>0.0677977661612921</x:v>
      </x:c>
    </x:row>
    <x:row r="66">
      <x:c r="A66" s="13" t="str">
        <x:v>600522.SH</x:v>
      </x:c>
      <x:c r="B66" s="13" t="str">
        <x:v>中天科技</x:v>
      </x:c>
      <x:c r="C66" s="13" t="str">
        <x:v>民营企业</x:v>
      </x:c>
      <x:c r="D66" s="13" t="str">
        <x:v>信息技术--硬件设备--通信设备Ⅲ--通信设备Ⅳ</x:v>
      </x:c>
      <x:c r="E66" s="13" t="str">
        <x:v>硬件设备</x:v>
      </x:c>
      <x:c r="F66" s="13" t="n">
        <x:v>-105430079.46</x:v>
      </x:c>
      <x:c r="G66" s="13" t="n">
        <x:v>2902294275.49</x:v>
      </x:c>
      <x:c r="H66" s="13" t="n">
        <x:v>62112702334.24</x:v>
      </x:c>
      <x:c r="I66" s="13" t="n">
        <x:v>13165133.55</x:v>
      </x:c>
      <x:c r="J66" s="13" t="n">
        <x:v>2837918547.87</x:v>
      </x:c>
      <x:c r="K66" s="13" t="n">
        <x:v>58324381816.14</x:v>
      </x:c>
      <x:c r="L66" s="13" t="n">
        <x:v>54730839119.86</x:v>
      </x:c>
      <x:c r="M66" s="13" t="n">
        <x:v>41507969978.67</x:v>
      </x:c>
      <x:c r="N66" s="13" t="n">
        <x:v>47880280727.14</x:v>
      </x:c>
      <x:c r="O66" s="13" t="n">
        <x:v>19589768956.15</x:v>
      </x:c>
      <x:c r="P66" s="13" t="n">
        <x:v>11213861697.49</x:v>
      </x:c>
      <x:c r="Q66" s="13" t="n">
        <x:v>22509070977.36</x:v>
      </x:c>
      <x:c r="R66" s="13" t="n">
        <x:v>1701661444.47</x:v>
      </x:c>
      <x:c r="S66" s="13" t="n">
        <x:f>IFERROR((G66+F66)/H66,"")</x:f>
        <x:v>0.04502886029623302</x:v>
      </x:c>
      <x:c r="T66" s="13" t="n">
        <x:f>IFERROR(LN(K66),"")</x:f>
        <x:v>24.789286055846</x:v>
      </x:c>
      <x:c r="U66" s="13" t="n">
        <x:f>IFERROR(N66/SUMIFS($N$2:$N$99,$E$2:$E$99,$E66),"")</x:f>
        <x:v>0.0970733222041679</x:v>
      </x:c>
      <x:c r="V66" s="13" t="n">
        <x:f>IFERROR(U66^2,"")</x:f>
        <x:v>0.009423229883754195</x:v>
      </x:c>
      <x:c r="W66" s="13" t="n">
        <x:f>IFERROR(SUMIFS($V$2:$V$99,$E$2:$E$99,$E66),"")</x:f>
        <x:v>0.12235054081259594</x:v>
      </x:c>
      <x:c r="X66" s="13" t="n">
        <x:f>IFERROR(N66/AVERAGE(K66,L66),"")</x:f>
        <x:v>0.847024672204122</x:v>
      </x:c>
      <x:c r="Y66" s="13" t="n">
        <x:f>IFERROR((M66-O66)/K66,"")</x:f>
        <x:v>0.37579825692133806</x:v>
      </x:c>
      <x:c r="Z66" s="13" t="n">
        <x:f>IFERROR(P66/K66,"")</x:f>
        <x:v>0.19226713337211587</x:v>
      </x:c>
      <x:c r="AA66" s="13" t="n">
        <x:f>IFERROR(Q66/K66,"")</x:f>
        <x:v>0.3859290107577464</x:v>
      </x:c>
      <x:c r="AB66" s="13" t="n">
        <x:f>IFERROR(M66/O66,"")</x:f>
        <x:v>2.118859598169942</x:v>
      </x:c>
      <x:c r="AC66" s="13" t="n">
        <x:f>IFERROR(R66/K66,"")</x:f>
        <x:v>0.02917581621069325</x:v>
      </x:c>
    </x:row>
    <x:row r="67">
      <x:c r="A67" s="13" t="str">
        <x:v>600588.SH</x:v>
      </x:c>
      <x:c r="B67" s="13" t="str">
        <x:v>用友网络</x:v>
      </x:c>
      <x:c r="C67" s="13" t="str">
        <x:v>民营企业</x:v>
      </x:c>
      <x:c r="D67" s="13" t="str">
        <x:v>信息技术--软件服务--软件--应用软件</x:v>
      </x:c>
      <x:c r="E67" s="13" t="str">
        <x:v>软件服务</x:v>
      </x:c>
      <x:c r="F67" s="13" t="n">
        <x:v>142321486</x:v>
      </x:c>
      <x:c r="G67" s="13" t="n">
        <x:v>-1389222622</x:v>
      </x:c>
      <x:c r="H67" s="13" t="n">
        <x:v>21631280327</x:v>
      </x:c>
      <x:c r="I67" s="13" t="n">
        <x:v>178302000</x:v>
      </x:c>
      <x:c r="J67" s="13" t="n">
        <x:v>-2061309000</x:v>
      </x:c>
      <x:c r="K67" s="13" t="n">
        <x:v>24156836000</x:v>
      </x:c>
      <x:c r="L67" s="13" t="n">
        <x:v>25521041000</x:v>
      </x:c>
      <x:c r="M67" s="13" t="n">
        <x:v>11031272000</x:v>
      </x:c>
      <x:c r="N67" s="13" t="n">
        <x:v>8817429000</x:v>
      </x:c>
      <x:c r="O67" s="13" t="n">
        <x:v>12365043000</x:v>
      </x:c>
      <x:c r="P67" s="13" t="n">
        <x:v>2897262000</x:v>
      </x:c>
      <x:c r="Q67" s="13" t="n">
        <x:v>14357360000</x:v>
      </x:c>
      <x:c r="R67" s="13" t="n">
        <x:v>1758998000</x:v>
      </x:c>
      <x:c r="S67" s="13" t="n">
        <x:f>IFERROR((G67+F67)/H67,"")</x:f>
        <x:v>-0.05764342734921832</x:v>
      </x:c>
      <x:c r="T67" s="13" t="n">
        <x:f>IFERROR(LN(K67),"")</x:f>
        <x:v>23.90783324117208</x:v>
      </x:c>
      <x:c r="U67" s="13" t="n">
        <x:f>IFERROR(N67/SUMIFS($N$2:$N$99,$E$2:$E$99,$E67),"")</x:f>
        <x:v>0.10284034170705864</x:v>
      </x:c>
      <x:c r="V67" s="13" t="n">
        <x:f>IFERROR(U67^2,"")</x:f>
        <x:v>0.010576135882424583</x:v>
      </x:c>
      <x:c r="W67" s="13" t="n">
        <x:f>IFERROR(SUMIFS($V$2:$V$99,$E$2:$E$99,$E67),"")</x:f>
        <x:v>0.23288063539086398</x:v>
      </x:c>
      <x:c r="X67" s="13" t="n">
        <x:f>IFERROR(N67/AVERAGE(K67,L67),"")</x:f>
        <x:v>0.35498413106502114</x:v>
      </x:c>
      <x:c r="Y67" s="13" t="n">
        <x:f>IFERROR((M67-O67)/K67,"")</x:f>
        <x:v>-0.055212984018271266</x:v>
      </x:c>
      <x:c r="Z67" s="13" t="n">
        <x:f>IFERROR(P67/K67,"")</x:f>
        <x:v>0.11993549155195656</x:v>
      </x:c>
      <x:c r="AA67" s="13" t="n">
        <x:f>IFERROR(Q67/K67,"")</x:f>
        <x:v>0.5943394242524145</x:v>
      </x:c>
      <x:c r="AB67" s="13" t="n">
        <x:f>IFERROR(M67/O67,"")</x:f>
        <x:v>0.892133735402295</x:v>
      </x:c>
      <x:c r="AC67" s="13" t="n">
        <x:f>IFERROR(R67/K67,"")</x:f>
        <x:v>0.07281574457847045</x:v>
      </x:c>
    </x:row>
    <x:row r="68">
      <x:c r="A68" s="13" t="str">
        <x:v>600803.SH</x:v>
      </x:c>
      <x:c r="B68" s="13" t="str">
        <x:v>新奥股份</x:v>
      </x:c>
      <x:c r="C68" s="13" t="str">
        <x:v>民营企业</x:v>
      </x:c>
      <x:c r="D68" s="13" t="str">
        <x:v>公用事业--公用事业Ⅱ--燃气Ⅲ--燃气Ⅳ</x:v>
      </x:c>
      <x:c r="E68" s="13" t="str">
        <x:v>公用事业Ⅱ</x:v>
      </x:c>
      <x:c r="F68" s="13" t="n">
        <x:v>479670000</x:v>
      </x:c>
      <x:c r="G68" s="13" t="n">
        <x:v>4681320000</x:v>
      </x:c>
      <x:c r="H68" s="13" t="n">
        <x:v>135284300000</x:v>
      </x:c>
      <x:c r="I68" s="13" t="n">
        <x:v>1137000000</x:v>
      </x:c>
      <x:c r="J68" s="13" t="n">
        <x:v>4493000000</x:v>
      </x:c>
      <x:c r="K68" s="13" t="n">
        <x:v>132486000000</x:v>
      </x:c>
      <x:c r="L68" s="13" t="n">
        <x:v>134575000000</x:v>
      </x:c>
      <x:c r="M68" s="13" t="n">
        <x:v>36009000000</x:v>
      </x:c>
      <x:c r="N68" s="13" t="n">
        <x:v>131715000000</x:v>
      </x:c>
      <x:c r="O68" s="13" t="n">
        <x:v>43453000000</x:v>
      </x:c>
      <x:c r="P68" s="13" t="n">
        <x:v>68061000000</x:v>
      </x:c>
      <x:c r="Q68" s="13" t="n">
        <x:v>71943000000</x:v>
      </x:c>
      <x:c r="R68" s="13" t="n">
        <x:v>8329000000</x:v>
      </x:c>
      <x:c r="S68" s="13" t="n">
        <x:f>IFERROR((G68+F68)/H68,"")</x:f>
        <x:v>0.0381492161322489</x:v>
      </x:c>
      <x:c r="T68" s="13" t="n">
        <x:f>IFERROR(LN(K68),"")</x:f>
        <x:v>25.60974281641288</x:v>
      </x:c>
      <x:c r="U68" s="13" t="n">
        <x:f>IFERROR(N68/SUMIFS($N$2:$N$99,$E$2:$E$99,$E68),"")</x:f>
        <x:v>1</x:v>
      </x:c>
      <x:c r="V68" s="13" t="n">
        <x:f>IFERROR(U68^2,"")</x:f>
        <x:v>1</x:v>
      </x:c>
      <x:c r="W68" s="13" t="n">
        <x:f>IFERROR(SUMIFS($V$2:$V$99,$E$2:$E$99,$E68),"")</x:f>
        <x:v>1</x:v>
      </x:c>
      <x:c r="X68" s="13" t="n">
        <x:f>IFERROR(N68/AVERAGE(K68,L68),"")</x:f>
        <x:v>0.9864038552989767</x:v>
      </x:c>
      <x:c r="Y68" s="13" t="n">
        <x:f>IFERROR((M68-O68)/K68,"")</x:f>
        <x:v>-0.05618706882236614</x:v>
      </x:c>
      <x:c r="Z68" s="13" t="n">
        <x:f>IFERROR(P68/K68,"")</x:f>
        <x:v>0.5137222046102985</x:v>
      </x:c>
      <x:c r="AA68" s="13" t="n">
        <x:f>IFERROR(Q68/K68,"")</x:f>
        <x:v>0.5430234137946651</x:v>
      </x:c>
      <x:c r="AB68" s="13" t="n">
        <x:f>IFERROR(M68/O68,"")</x:f>
        <x:v>0.8286884679999079</x:v>
      </x:c>
      <x:c r="AC68" s="13" t="n">
        <x:f>IFERROR(R68/K68,"")</x:f>
        <x:v>0.06286701991153783</x:v>
      </x:c>
    </x:row>
    <x:row r="69">
      <x:c r="A69" s="13" t="str">
        <x:v>600989.SH</x:v>
      </x:c>
      <x:c r="B69" s="13" t="str">
        <x:v>宝丰能源</x:v>
      </x:c>
      <x:c r="C69" s="13" t="str">
        <x:v>民营企业</x:v>
      </x:c>
      <x:c r="D69" s="13" t="str">
        <x:v>材料--化工--基础化工--商品化工</x:v>
      </x:c>
      <x:c r="E69" s="13" t="str">
        <x:v>化工</x:v>
      </x:c>
      <x:c r="F69" s="13" t="n">
        <x:v>1139814907.38</x:v>
      </x:c>
      <x:c r="G69" s="13" t="n">
        <x:v>11350295509.65</x:v>
      </x:c>
      <x:c r="H69" s="13" t="n">
        <x:v>90152489325.37</x:v>
      </x:c>
      <x:c r="I69" s="13" t="n">
        <x:v>744402340.66</x:v>
      </x:c>
      <x:c r="J69" s="13" t="n">
        <x:v>6337676311.63</x:v>
      </x:c>
      <x:c r="K69" s="13" t="n">
        <x:v>89566217563.17</x:v>
      </x:c>
      <x:c r="L69" s="13" t="n">
        <x:v>71630299331.58</x:v>
      </x:c>
      <x:c r="M69" s="13" t="n">
        <x:v>4785824996.48</x:v>
      </x:c>
      <x:c r="N69" s="13" t="n">
        <x:v>32338064155.83</x:v>
      </x:c>
      <x:c r="O69" s="13" t="n">
        <x:v>21250374260.58</x:v>
      </x:c>
      <x:c r="P69" s="13" t="n">
        <x:v>73342009883.64</x:v>
      </x:c>
      <x:c r="Q69" s="13" t="n">
        <x:v>46559996654.97</x:v>
      </x:c>
      <x:c r="R69" s="13" t="n">
        <x:v>11529080272.76</x:v>
      </x:c>
      <x:c r="S69" s="13" t="n">
        <x:f>IFERROR((G69+F69)/H69,"")</x:f>
        <x:v>0.1385442655049918</x:v>
      </x:c>
      <x:c r="T69" s="13" t="n">
        <x:f>IFERROR(LN(K69),"")</x:f>
        <x:v>25.21824404970597</x:v>
      </x:c>
      <x:c r="U69" s="13" t="n">
        <x:f>IFERROR(N69/SUMIFS($N$2:$N$99,$E$2:$E$99,$E69),"")</x:f>
        <x:v>0.056296692304437915</x:v>
      </x:c>
      <x:c r="V69" s="13" t="n">
        <x:f>IFERROR(U69^2,"")</x:f>
        <x:v>0.003169317564420559</x:v>
      </x:c>
      <x:c r="W69" s="13" t="n">
        <x:f>IFERROR(SUMIFS($V$2:$V$99,$E$2:$E$99,$E69),"")</x:f>
        <x:v>0.3404756158039197</x:v>
      </x:c>
      <x:c r="X69" s="13" t="n">
        <x:f>IFERROR(N69/AVERAGE(K69,L69),"")</x:f>
        <x:v>0.4012253462888964</x:v>
      </x:c>
      <x:c r="Y69" s="13" t="n">
        <x:f>IFERROR((M69-O69)/K69,"")</x:f>
        <x:v>-0.1838254390109502</x:v>
      </x:c>
      <x:c r="Z69" s="13" t="n">
        <x:f>IFERROR(P69/K69,"")</x:f>
        <x:v>0.8188579564824511</x:v>
      </x:c>
      <x:c r="AA69" s="13" t="n">
        <x:f>IFERROR(Q69/K69,"")</x:f>
        <x:v>0.5198388178236039</x:v>
      </x:c>
      <x:c r="AB69" s="13" t="n">
        <x:f>IFERROR(M69/O69,"")</x:f>
        <x:v>0.2252113274709627</x:v>
      </x:c>
      <x:c r="AC69" s="13" t="n">
        <x:f>IFERROR(R69/K69,"")</x:f>
        <x:v>0.12872130348285252</x:v>
      </x:c>
    </x:row>
    <x:row r="70">
      <x:c r="A70" s="13" t="str">
        <x:v>601012.SH</x:v>
      </x:c>
      <x:c r="B70" s="13" t="str">
        <x:v>隆基绿能</x:v>
      </x:c>
      <x:c r="C70" s="13" t="str">
        <x:v>民营企业</x:v>
      </x:c>
      <x:c r="D70" s="13" t="str">
        <x:v>工业--电气设备--电气设备Ⅲ--光伏设备</x:v>
      </x:c>
      <x:c r="E70" s="13" t="str">
        <x:v>电气设备</x:v>
      </x:c>
      <x:c r="F70" s="13" t="n">
        <x:v>116536191.11</x:v>
      </x:c>
      <x:c r="G70" s="13" t="n">
        <x:v>-6419556843.85</x:v>
      </x:c>
      <x:c r="H70" s="13" t="n">
        <x:v>153803608808.29</x:v>
      </x:c>
      <x:c r="I70" s="13" t="n">
        <x:v>-237167820.85</x:v>
      </x:c>
      <x:c r="J70" s="13" t="n">
        <x:v>-8617528506.44</x:v>
      </x:c>
      <x:c r="K70" s="13" t="n">
        <x:v>152844602368.05</x:v>
      </x:c>
      <x:c r="L70" s="13" t="n">
        <x:v>163969201409.91</x:v>
      </x:c>
      <x:c r="M70" s="13" t="n">
        <x:v>90023010481.69</x:v>
      </x:c>
      <x:c r="N70" s="13" t="n">
        <x:v>82246885172.59</x:v>
      </x:c>
      <x:c r="O70" s="13" t="n">
        <x:v>60293087421.47</x:v>
      </x:c>
      <x:c r="P70" s="13" t="n">
        <x:v>40607351445.53</x:v>
      </x:c>
      <x:c r="Q70" s="13" t="n">
        <x:v>91443923169.18</x:v>
      </x:c>
      <x:c r="R70" s="13" t="n">
        <x:v>8013068271.53</x:v>
      </x:c>
      <x:c r="S70" s="13" t="n">
        <x:f>IFERROR((G70+F70)/H70,"")</x:f>
        <x:v>-0.040980967232026794</x:v>
      </x:c>
      <x:c r="T70" s="13" t="n">
        <x:f>IFERROR(LN(K70),"")</x:f>
        <x:v>25.752687571398685</x:v>
      </x:c>
      <x:c r="U70" s="13" t="n">
        <x:f>IFERROR(N70/SUMIFS($N$2:$N$99,$E$2:$E$99,$E70),"")</x:f>
        <x:v>0.073114426741135</x:v>
      </x:c>
      <x:c r="V70" s="13" t="n">
        <x:f>IFERROR(U70^2,"")</x:f>
        <x:v>0.005345719397684796</x:v>
      </x:c>
      <x:c r="W70" s="13" t="n">
        <x:f>IFERROR(SUMIFS($V$2:$V$99,$E$2:$E$99,$E70),"")</x:f>
        <x:v>0.14616578354193543</x:v>
      </x:c>
      <x:c r="X70" s="13" t="n">
        <x:f>IFERROR(N70/AVERAGE(K70,L70),"")</x:f>
        <x:v>0.5192127627761637</x:v>
      </x:c>
      <x:c r="Y70" s="13" t="n">
        <x:f>IFERROR((M70-O70)/K70,"")</x:f>
        <x:v>0.19451078153633655</x:v>
      </x:c>
      <x:c r="Z70" s="13" t="n">
        <x:f>IFERROR(P70/K70,"")</x:f>
        <x:v>0.2656773665304022</x:v>
      </x:c>
      <x:c r="AA70" s="13" t="n">
        <x:f>IFERROR(Q70/K70,"")</x:f>
        <x:v>0.5982803563385438</x:v>
      </x:c>
      <x:c r="AB70" s="13" t="n">
        <x:f>IFERROR(M70/O70,"")</x:f>
        <x:v>1.4930900760214405</x:v>
      </x:c>
      <x:c r="AC70" s="13" t="n">
        <x:f>IFERROR(R70/K70,"")</x:f>
        <x:v>0.05242624304281627</x:v>
      </x:c>
    </x:row>
    <x:row r="71">
      <x:c r="A71" s="13" t="str">
        <x:v>601021.SH</x:v>
      </x:c>
      <x:c r="B71" s="13" t="str">
        <x:v>春秋航空</x:v>
      </x:c>
      <x:c r="C71" s="13" t="str">
        <x:v>民营企业</x:v>
      </x:c>
      <x:c r="D71" s="13" t="str">
        <x:v>工业--交通运输--航空客运Ⅲ--航空客运Ⅳ</x:v>
      </x:c>
      <x:c r="E71" s="13" t="str">
        <x:v>交通运输</x:v>
      </x:c>
      <x:c r="F71" s="13" t="n">
        <x:v>305192659</x:v>
      </x:c>
      <x:c r="G71" s="13" t="n">
        <x:v>2317401673</x:v>
      </x:c>
      <x:c r="H71" s="13" t="n">
        <x:v>46876574409</x:v>
      </x:c>
      <x:c r="I71" s="13" t="n">
        <x:v>266403278</x:v>
      </x:c>
      <x:c r="J71" s="13" t="n">
        <x:v>2272944296</x:v>
      </x:c>
      <x:c r="K71" s="13" t="n">
        <x:v>43835011780</x:v>
      </x:c>
      <x:c r="L71" s="13" t="n">
        <x:v>44237902712</x:v>
      </x:c>
      <x:c r="M71" s="13" t="n">
        <x:v>12012791810</x:v>
      </x:c>
      <x:c r="N71" s="13" t="n">
        <x:v>19961559760</x:v>
      </x:c>
      <x:c r="O71" s="13" t="n">
        <x:v>9048743906</x:v>
      </x:c>
      <x:c r="P71" s="13" t="n">
        <x:v>27134658121</x:v>
      </x:c>
      <x:c r="Q71" s="13" t="n">
        <x:v>26454116508</x:v>
      </x:c>
      <x:c r="R71" s="13" t="n">
        <x:v>7213702510</x:v>
      </x:c>
      <x:c r="S71" s="13" t="n">
        <x:f>IFERROR((G71+F71)/H71,"")</x:f>
        <x:v>0.05594679997556474</x:v>
      </x:c>
      <x:c r="T71" s="13" t="n">
        <x:f>IFERROR(LN(K71),"")</x:f>
        <x:v>24.503698690721954</x:v>
      </x:c>
      <x:c r="U71" s="13" t="n">
        <x:f>IFERROR(N71/SUMIFS($N$2:$N$99,$E$2:$E$99,$E71),"")</x:f>
        <x:v>0.053493925858715013</x:v>
      </x:c>
      <x:c r="V71" s="13" t="n">
        <x:f>IFERROR(U71^2,"")</x:f>
        <x:v>0.002861600103777699</x:v>
      </x:c>
      <x:c r="W71" s="13" t="n">
        <x:f>IFERROR(SUMIFS($V$2:$V$99,$E$2:$E$99,$E71),"")</x:f>
        <x:v>0.6177817572282329</x:v>
      </x:c>
      <x:c r="X71" s="13" t="n">
        <x:f>IFERROR(N71/AVERAGE(K71,L71),"")</x:f>
        <x:v>0.4532962233653159</x:v>
      </x:c>
      <x:c r="Y71" s="13" t="n">
        <x:f>IFERROR((M71-O71)/K71,"")</x:f>
        <x:v>0.06761827552085581</x:v>
      </x:c>
      <x:c r="Z71" s="13" t="n">
        <x:f>IFERROR(P71/K71,"")</x:f>
        <x:v>0.6190179269754493</x:v>
      </x:c>
      <x:c r="AA71" s="13" t="n">
        <x:f>IFERROR(Q71/K71,"")</x:f>
        <x:v>0.6034928572796656</x:v>
      </x:c>
      <x:c r="AB71" s="13" t="n">
        <x:f>IFERROR(M71/O71,"")</x:f>
        <x:v>1.3275645697116716</x:v>
      </x:c>
      <x:c r="AC71" s="13" t="n">
        <x:f>IFERROR(R71/K71,"")</x:f>
        <x:v>0.16456485847897723</x:v>
      </x:c>
    </x:row>
    <x:row r="72">
      <x:c r="A72" s="13" t="str">
        <x:v>601058.SH</x:v>
      </x:c>
      <x:c r="B72" s="13" t="str">
        <x:v>赛轮轮胎</x:v>
      </x:c>
      <x:c r="C72" s="13" t="str">
        <x:v>民营企业</x:v>
      </x:c>
      <x:c r="D72" s="13" t="str">
        <x:v>可选消费--汽车与零配件--汽车零配件--轮胎与橡胶</x:v>
      </x:c>
      <x:c r="E72" s="13" t="str">
        <x:v>汽车与零配件</x:v>
      </x:c>
      <x:c r="F72" s="13" t="n">
        <x:v>396468014.37</x:v>
      </x:c>
      <x:c r="G72" s="13" t="n">
        <x:v>3522493083.51</x:v>
      </x:c>
      <x:c r="H72" s="13" t="n">
        <x:v>46770401485.61</x:v>
      </x:c>
      <x:c r="I72" s="13" t="n">
        <x:v>351346745.02</x:v>
      </x:c>
      <x:c r="J72" s="13" t="n">
        <x:v>4062674002.7</x:v>
      </x:c>
      <x:c r="K72" s="13" t="n">
        <x:v>40284983406.79</x:v>
      </x:c>
      <x:c r="L72" s="13" t="n">
        <x:v>33725713539.78</x:v>
      </x:c>
      <x:c r="M72" s="13" t="n">
        <x:v>19500010351.85</x:v>
      </x:c>
      <x:c r="N72" s="13" t="n">
        <x:v>31692513020.38</x:v>
      </x:c>
      <x:c r="O72" s="13" t="n">
        <x:v>15732563871.19</x:v>
      </x:c>
      <x:c r="P72" s="13" t="n">
        <x:v>16121396093.7</x:v>
      </x:c>
      <x:c r="Q72" s="13" t="n">
        <x:v>19713262347.72</x:v>
      </x:c>
      <x:c r="R72" s="13" t="n">
        <x:v>4024462509.92</x:v>
      </x:c>
      <x:c r="S72" s="13" t="n">
        <x:f>IFERROR((G72+F72)/H72,"")</x:f>
        <x:v>0.08379147865741027</x:v>
      </x:c>
      <x:c r="T72" s="13" t="n">
        <x:f>IFERROR(LN(K72),"")</x:f>
        <x:v>24.41924461627999</x:v>
      </x:c>
      <x:c r="U72" s="13" t="n">
        <x:f>IFERROR(N72/SUMIFS($N$2:$N$99,$E$2:$E$99,$E72),"")</x:f>
        <x:v>0.026568243056779125</x:v>
      </x:c>
      <x:c r="V72" s="13" t="n">
        <x:f>IFERROR(U72^2,"")</x:f>
        <x:v>0.0007058715391240922</x:v>
      </x:c>
      <x:c r="W72" s="13" t="n">
        <x:f>IFERROR(SUMIFS($V$2:$V$99,$E$2:$E$99,$E72),"")</x:f>
        <x:v>0.4695797494099714</x:v>
      </x:c>
      <x:c r="X72" s="13" t="n">
        <x:f>IFERROR(N72/AVERAGE(K72,L72),"")</x:f>
        <x:v>0.8564306060584604</x:v>
      </x:c>
      <x:c r="Y72" s="13" t="n">
        <x:f>IFERROR((M72-O72)/K72,"")</x:f>
        <x:v>0.09351987172532875</x:v>
      </x:c>
      <x:c r="Z72" s="13" t="n">
        <x:f>IFERROR(P72/K72,"")</x:f>
        <x:v>0.4001837590674731</x:v>
      </x:c>
      <x:c r="AA72" s="13" t="n">
        <x:f>IFERROR(Q72/K72,"")</x:f>
        <x:v>0.48934517729992033</x:v>
      </x:c>
      <x:c r="AB72" s="13" t="n">
        <x:f>IFERROR(M72/O72,"")</x:f>
        <x:v>1.239468055652332</x:v>
      </x:c>
      <x:c r="AC72" s="13" t="n">
        <x:f>IFERROR(R72/K72,"")</x:f>
        <x:v>0.09989981798631398</x:v>
      </x:c>
    </x:row>
    <x:row r="73">
      <x:c r="A73" s="13" t="str">
        <x:v>601100.SH</x:v>
      </x:c>
      <x:c r="B73" s="13" t="str">
        <x:v>恒立液压</x:v>
      </x:c>
      <x:c r="C73" s="13" t="str">
        <x:v>民营企业</x:v>
      </x:c>
      <x:c r="D73" s="13" t="str">
        <x:v>工业--机械--机械Ⅲ--工业机械</x:v>
      </x:c>
      <x:c r="E73" s="13" t="str">
        <x:v>机械</x:v>
      </x:c>
      <x:c r="F73" s="13" t="n">
        <x:v>5913801.78</x:v>
      </x:c>
      <x:c r="G73" s="13" t="n">
        <x:v>2734121067.32</x:v>
      </x:c>
      <x:c r="H73" s="13" t="n">
        <x:v>21670965419.64</x:v>
      </x:c>
      <x:c r="I73" s="13" t="n">
        <x:v>-131409879.3</x:v>
      </x:c>
      <x:c r="J73" s="13" t="n">
        <x:v>2508706743</x:v>
      </x:c>
      <x:c r="K73" s="13" t="n">
        <x:v>19638650656.83</x:v>
      </x:c>
      <x:c r="L73" s="13" t="n">
        <x:v>17895562755.83</x:v>
      </x:c>
      <x:c r="M73" s="13" t="n">
        <x:v>13830401886.09</x:v>
      </x:c>
      <x:c r="N73" s="13" t="n">
        <x:v>9299657329.97</x:v>
      </x:c>
      <x:c r="O73" s="13" t="n">
        <x:v>3379240270.75</x:v>
      </x:c>
      <x:c r="P73" s="13" t="n">
        <x:v>4972811332.69</x:v>
      </x:c>
      <x:c r="Q73" s="13" t="n">
        <x:v>3810271530.89</x:v>
      </x:c>
      <x:c r="R73" s="13" t="n">
        <x:v>1071369421.72</x:v>
      </x:c>
      <x:c r="S73" s="13" t="n">
        <x:f>IFERROR((G73+F73)/H73,"")</x:f>
        <x:v>0.12643806198946528</x:v>
      </x:c>
      <x:c r="T73" s="13" t="n">
        <x:f>IFERROR(LN(K73),"")</x:f>
        <x:v>23.70076543368512</x:v>
      </x:c>
      <x:c r="U73" s="13" t="n">
        <x:f>IFERROR(N73/SUMIFS($N$2:$N$99,$E$2:$E$99,$E73),"")</x:f>
        <x:v>0.08042585088502857</x:v>
      </x:c>
      <x:c r="V73" s="13" t="n">
        <x:f>IFERROR(U73^2,"")</x:f>
        <x:v>0.0064683174905808515</x:v>
      </x:c>
      <x:c r="W73" s="13" t="n">
        <x:f>IFERROR(SUMIFS($V$2:$V$99,$E$2:$E$99,$E73),"")</x:f>
        <x:v>0.5244055085518771</x:v>
      </x:c>
      <x:c r="X73" s="13" t="n">
        <x:f>IFERROR(N73/AVERAGE(K73,L73),"")</x:f>
        <x:v>0.49552962401142503</x:v>
      </x:c>
      <x:c r="Y73" s="13" t="n">
        <x:f>IFERROR((M73-O73)/K73,"")</x:f>
        <x:v>0.5321731007881265</x:v>
      </x:c>
      <x:c r="Z73" s="13" t="n">
        <x:f>IFERROR(P73/K73,"")</x:f>
        <x:v>0.2532155299050822</x:v>
      </x:c>
      <x:c r="AA73" s="13" t="n">
        <x:f>IFERROR(Q73/K73,"")</x:f>
        <x:v>0.1940190086106985</x:v>
      </x:c>
      <x:c r="AB73" s="13" t="n">
        <x:f>IFERROR(M73/O73,"")</x:f>
        <x:v>4.092754814093297</x:v>
      </x:c>
      <x:c r="AC73" s="13" t="n">
        <x:f>IFERROR(R73/K73,"")</x:f>
        <x:v>0.0545541259652376</x:v>
      </x:c>
    </x:row>
    <x:row r="74">
      <x:c r="A74" s="13" t="str">
        <x:v>601127.SH</x:v>
      </x:c>
      <x:c r="B74" s="13" t="str">
        <x:v>赛力斯</x:v>
      </x:c>
      <x:c r="C74" s="13" t="str">
        <x:v>民营企业</x:v>
      </x:c>
      <x:c r="D74" s="13" t="str">
        <x:v>可选消费--汽车与零配件--汽车--汽车制造</x:v>
      </x:c>
      <x:c r="E74" s="13" t="str">
        <x:v>汽车与零配件</x:v>
      </x:c>
      <x:c r="F74" s="13" t="n">
        <x:v>198656000</x:v>
      </x:c>
      <x:c r="G74" s="13" t="n">
        <x:v>5956787000</x:v>
      </x:c>
      <x:c r="H74" s="13" t="n">
        <x:v>143905863000</x:v>
      </x:c>
      <x:c r="I74" s="13" t="n">
        <x:v>240382000</x:v>
      </x:c>
      <x:c r="J74" s="13" t="n">
        <x:v>5945945000</x:v>
      </x:c>
      <x:c r="K74" s="13" t="n">
        <x:v>94363958000</x:v>
      </x:c>
      <x:c r="L74" s="13" t="n">
        <x:v>51244671000</x:v>
      </x:c>
      <x:c r="M74" s="13" t="n">
        <x:v>65997852000</x:v>
      </x:c>
      <x:c r="N74" s="13" t="n">
        <x:v>145113623000</x:v>
      </x:c>
      <x:c r="O74" s="13" t="n">
        <x:v>76264794000</x:v>
      </x:c>
      <x:c r="P74" s="13" t="n">
        <x:v>10063416000</x:v>
      </x:c>
      <x:c r="Q74" s="13" t="n">
        <x:v>82458401000</x:v>
      </x:c>
      <x:c r="R74" s="13" t="n">
        <x:v>7143934000</x:v>
      </x:c>
      <x:c r="S74" s="13" t="n">
        <x:f>IFERROR((G74+F74)/H74,"")</x:f>
        <x:v>0.04277409461767378</x:v>
      </x:c>
      <x:c r="T74" s="13" t="n">
        <x:f>IFERROR(LN(K74),"")</x:f>
        <x:v>25.27042503634591</x:v>
      </x:c>
      <x:c r="U74" s="13" t="n">
        <x:f>IFERROR(N74/SUMIFS($N$2:$N$99,$E$2:$E$99,$E74),"")</x:f>
        <x:v>0.12165062468333053</x:v>
      </x:c>
      <x:c r="V74" s="13" t="n">
        <x:f>IFERROR(U74^2,"")</x:f>
        <x:v>0.014798874485844547</x:v>
      </x:c>
      <x:c r="W74" s="13" t="n">
        <x:f>IFERROR(SUMIFS($V$2:$V$99,$E$2:$E$99,$E74),"")</x:f>
        <x:v>0.4695797494099714</x:v>
      </x:c>
      <x:c r="X74" s="13" t="n">
        <x:f>IFERROR(N74/AVERAGE(K74,L74),"")</x:f>
        <x:v>1.9932008699841546</x:v>
      </x:c>
      <x:c r="Y74" s="13" t="n">
        <x:f>IFERROR((M74-O74)/K74,"")</x:f>
        <x:v>-0.1088015193258426</x:v>
      </x:c>
      <x:c r="Z74" s="13" t="n">
        <x:f>IFERROR(P74/K74,"")</x:f>
        <x:v>0.10664470008771781</x:v>
      </x:c>
      <x:c r="AA74" s="13" t="n">
        <x:f>IFERROR(Q74/K74,"")</x:f>
        <x:v>0.873833641017898</x:v>
      </x:c>
      <x:c r="AB74" s="13" t="n">
        <x:f>IFERROR(M74/O74,"")</x:f>
        <x:v>0.8653776997024342</x:v>
      </x:c>
      <x:c r="AC74" s="13" t="n">
        <x:f>IFERROR(R74/K74,"")</x:f>
        <x:v>0.07570617162963851</x:v>
      </x:c>
    </x:row>
    <x:row r="75">
      <x:c r="A75" s="13" t="str">
        <x:v>601360.SH</x:v>
      </x:c>
      <x:c r="B75" s="13" t="str">
        <x:v>三六零</x:v>
      </x:c>
      <x:c r="C75" s="13" t="str">
        <x:v>民营企业</x:v>
      </x:c>
      <x:c r="D75" s="13" t="str">
        <x:v>信息技术--软件服务--软件--应用软件</x:v>
      </x:c>
      <x:c r="E75" s="13" t="str">
        <x:v>软件服务</x:v>
      </x:c>
      <x:c r="F75" s="13" t="n">
        <x:v>-635560000</x:v>
      </x:c>
      <x:c r="G75" s="13" t="n">
        <x:v>263013000</x:v>
      </x:c>
      <x:c r="H75" s="13" t="n">
        <x:v>37516528000</x:v>
      </x:c>
      <x:c r="I75" s="13" t="n">
        <x:v>-763489000</x:v>
      </x:c>
      <x:c r="J75" s="13" t="n">
        <x:v>-1093799000</x:v>
      </x:c>
      <x:c r="K75" s="13" t="n">
        <x:v>38256187000</x:v>
      </x:c>
      <x:c r="L75" s="13" t="n">
        <x:v>40168367000</x:v>
      </x:c>
      <x:c r="M75" s="13" t="n">
        <x:v>26666381000</x:v>
      </x:c>
      <x:c r="N75" s="13" t="n">
        <x:v>7870205000</x:v>
      </x:c>
      <x:c r="O75" s="13" t="n">
        <x:v>6511410000</x:v>
      </x:c>
      <x:c r="P75" s="13" t="n">
        <x:v>1505625000</x:v>
      </x:c>
      <x:c r="Q75" s="13" t="n">
        <x:v>8120824000</x:v>
      </x:c>
      <x:c r="R75" s="13" t="n">
        <x:v>758655000</x:v>
      </x:c>
      <x:c r="S75" s="13" t="n">
        <x:f>IFERROR((G75+F75)/H75,"")</x:f>
        <x:v>-0.009930209959727617</x:v>
      </x:c>
      <x:c r="T75" s="13" t="n">
        <x:f>IFERROR(LN(K75),"")</x:f>
        <x:v>24.367571135772558</x:v>
      </x:c>
      <x:c r="U75" s="13" t="n">
        <x:f>IFERROR(N75/SUMIFS($N$2:$N$99,$E$2:$E$99,$E75),"")</x:f>
        <x:v>0.0917925816589622</x:v>
      </x:c>
      <x:c r="V75" s="13" t="n">
        <x:f>IFERROR(U75^2,"")</x:f>
        <x:v>0.008425878047617245</x:v>
      </x:c>
      <x:c r="W75" s="13" t="n">
        <x:f>IFERROR(SUMIFS($V$2:$V$99,$E$2:$E$99,$E75),"")</x:f>
        <x:v>0.23288063539086398</x:v>
      </x:c>
      <x:c r="X75" s="13" t="n">
        <x:f>IFERROR(N75/AVERAGE(K75,L75),"")</x:f>
        <x:v>0.20070767632290265</x:v>
      </x:c>
      <x:c r="Y75" s="13" t="n">
        <x:f>IFERROR((M75-O75)/K75,"")</x:f>
        <x:v>0.5268421288300373</x:v>
      </x:c>
      <x:c r="Z75" s="13" t="n">
        <x:f>IFERROR(P75/K75,"")</x:f>
        <x:v>0.03935637913940561</x:v>
      </x:c>
      <x:c r="AA75" s="13" t="n">
        <x:f>IFERROR(Q75/K75,"")</x:f>
        <x:v>0.21227478838913036</x:v>
      </x:c>
      <x:c r="AB75" s="13" t="n">
        <x:f>IFERROR(M75/O75,"")</x:f>
        <x:v>4.095331272335792</x:v>
      </x:c>
      <x:c r="AC75" s="13" t="n">
        <x:f>IFERROR(R75/K75,"")</x:f>
        <x:v>0.019830909964968543</x:v>
      </x:c>
    </x:row>
    <x:row r="76">
      <x:c r="A76" s="13" t="str">
        <x:v>601633.SH</x:v>
      </x:c>
      <x:c r="B76" s="13" t="str">
        <x:v>长城汽车</x:v>
      </x:c>
      <x:c r="C76" s="13" t="str">
        <x:v>民营企业</x:v>
      </x:c>
      <x:c r="D76" s="13" t="str">
        <x:v>可选消费--汽车与零配件--汽车--汽车制造</x:v>
      </x:c>
      <x:c r="E76" s="13" t="str">
        <x:v>汽车与零配件</x:v>
      </x:c>
      <x:c r="F76" s="13" t="n">
        <x:v>735538728.32</x:v>
      </x:c>
      <x:c r="G76" s="13" t="n">
        <x:v>9865280190.16</x:v>
      </x:c>
      <x:c r="H76" s="13" t="n">
        <x:v>225287872883.05</x:v>
      </x:c>
      <x:c r="I76" s="13" t="n">
        <x:v>882010505.97</x:v>
      </x:c>
      <x:c r="J76" s="13" t="n">
        <x:v>12692204172.58</x:v>
      </x:c>
      <x:c r="K76" s="13" t="n">
        <x:v>217266223746.47</x:v>
      </x:c>
      <x:c r="L76" s="13" t="n">
        <x:v>201270288570.21</x:v>
      </x:c>
      <x:c r="M76" s="13" t="n">
        <x:v>133435084246.57</x:v>
      </x:c>
      <x:c r="N76" s="13" t="n">
        <x:v>202195472334.88</x:v>
      </x:c>
      <x:c r="O76" s="13" t="n">
        <x:v>122228797798.25</x:v>
      </x:c>
      <x:c r="P76" s="13" t="n">
        <x:v>33609739640.71</x:v>
      </x:c>
      <x:c r="Q76" s="13" t="n">
        <x:v>138269994927.77</x:v>
      </x:c>
      <x:c r="R76" s="13" t="n">
        <x:v>11737403526.94</x:v>
      </x:c>
      <x:c r="S76" s="13" t="n">
        <x:f>IFERROR((G76+F76)/H76,"")</x:f>
        <x:v>0.04705454751212032</x:v>
      </x:c>
      <x:c r="T76" s="13" t="n">
        <x:f>IFERROR(LN(K76),"")</x:f>
        <x:v>26.10438927607798</x:v>
      </x:c>
      <x:c r="U76" s="13" t="n">
        <x:f>IFERROR(N76/SUMIFS($N$2:$N$99,$E$2:$E$99,$E76),"")</x:f>
        <x:v>0.16950307634231715</x:v>
      </x:c>
      <x:c r="V76" s="13" t="n">
        <x:f>IFERROR(U76^2,"")</x:f>
        <x:v>0.028731292889509395</x:v>
      </x:c>
      <x:c r="W76" s="13" t="n">
        <x:f>IFERROR(SUMIFS($V$2:$V$99,$E$2:$E$99,$E76),"")</x:f>
        <x:v>0.4695797494099714</x:v>
      </x:c>
      <x:c r="X76" s="13" t="n">
        <x:f>IFERROR(N76/AVERAGE(K76,L76),"")</x:f>
        <x:v>0.9662023091638492</x:v>
      </x:c>
      <x:c r="Y76" s="13" t="n">
        <x:f>IFERROR((M76-O76)/K76,"")</x:f>
        <x:v>0.05157859447769814</x:v>
      </x:c>
      <x:c r="Z76" s="13" t="n">
        <x:f>IFERROR(P76/K76,"")</x:f>
        <x:v>0.1546938086424769</x:v>
      </x:c>
      <x:c r="AA76" s="13" t="n">
        <x:f>IFERROR(Q76/K76,"")</x:f>
        <x:v>0.6364081473111004</x:v>
      </x:c>
      <x:c r="AB76" s="13" t="n">
        <x:f>IFERROR(M76/O76,"")</x:f>
        <x:v>1.091682865659998</x:v>
      </x:c>
      <x:c r="AC76" s="13" t="n">
        <x:f>IFERROR(R76/K76,"")</x:f>
        <x:v>0.05402313955912672</x:v>
      </x:c>
    </x:row>
    <x:row r="77">
      <x:c r="A77" s="13" t="str">
        <x:v>601877.SH</x:v>
      </x:c>
      <x:c r="B77" s="13" t="str">
        <x:v>正泰电器</x:v>
      </x:c>
      <x:c r="C77" s="13" t="str">
        <x:v>民营企业</x:v>
      </x:c>
      <x:c r="D77" s="13" t="str">
        <x:v>工业--电气设备--电气设备Ⅲ--电气部件与设备</x:v>
      </x:c>
      <x:c r="E77" s="13" t="str">
        <x:v>电气设备</x:v>
      </x:c>
      <x:c r="F77" s="13" t="n">
        <x:v>1868199701.91</x:v>
      </x:c>
      <x:c r="G77" s="13" t="n">
        <x:v>4501407070.08</x:v>
      </x:c>
      <x:c r="H77" s="13" t="n">
        <x:v>158643189137.54</x:v>
      </x:c>
      <x:c r="I77" s="13" t="n">
        <x:v>1889917732.4</x:v>
      </x:c>
      <x:c r="J77" s="13" t="n">
        <x:v>3874293018.8</x:v>
      </x:c>
      <x:c r="K77" s="13" t="n">
        <x:v>138081167945.54</x:v>
      </x:c>
      <x:c r="L77" s="13" t="n">
        <x:v>120804656034.59</x:v>
      </x:c>
      <x:c r="M77" s="13" t="n">
        <x:v>81360626602.19</x:v>
      </x:c>
      <x:c r="N77" s="13" t="n">
        <x:v>64042886154.97</x:v>
      </x:c>
      <x:c r="O77" s="13" t="n">
        <x:v>56753163638.68</x:v>
      </x:c>
      <x:c r="P77" s="13" t="n">
        <x:v>29258988972.68</x:v>
      </x:c>
      <x:c r="Q77" s="13" t="n">
        <x:v>87374552889.82</x:v>
      </x:c>
      <x:c r="R77" s="13" t="n">
        <x:v>2951303421.61</x:v>
      </x:c>
      <x:c r="S77" s="13" t="n">
        <x:f>IFERROR((G77+F77)/H77,"")</x:f>
        <x:v>0.04015052147286132</x:v>
      </x:c>
      <x:c r="T77" s="13" t="n">
        <x:f>IFERROR(LN(K77),"")</x:f>
        <x:v>25.651107522715773</x:v>
      </x:c>
      <x:c r="U77" s="13" t="n">
        <x:f>IFERROR(N77/SUMIFS($N$2:$N$99,$E$2:$E$99,$E77),"")</x:f>
        <x:v>0.05693174760652094</x:v>
      </x:c>
      <x:c r="V77" s="13" t="n">
        <x:f>IFERROR(U77^2,"")</x:f>
        <x:v>0.003241223885532603</x:v>
      </x:c>
      <x:c r="W77" s="13" t="n">
        <x:f>IFERROR(SUMIFS($V$2:$V$99,$E$2:$E$99,$E77),"")</x:f>
        <x:v>0.14616578354193543</x:v>
      </x:c>
      <x:c r="X77" s="13" t="n">
        <x:f>IFERROR(N77/AVERAGE(K77,L77),"")</x:f>
        <x:v>0.4947577675005134</x:v>
      </x:c>
      <x:c r="Y77" s="13" t="n">
        <x:f>IFERROR((M77-O77)/K77,"")</x:f>
        <x:v>0.1782101305314518</x:v>
      </x:c>
      <x:c r="Z77" s="13" t="n">
        <x:f>IFERROR(P77/K77,"")</x:f>
        <x:v>0.2118970270024071</x:v>
      </x:c>
      <x:c r="AA77" s="13" t="n">
        <x:f>IFERROR(Q77/K77,"")</x:f>
        <x:v>0.6327767514559337</x:v>
      </x:c>
      <x:c r="AB77" s="13" t="n">
        <x:f>IFERROR(M77/O77,"")</x:f>
        <x:v>1.433587511000688</x:v>
      </x:c>
      <x:c r="AC77" s="13" t="n">
        <x:f>IFERROR(R77/K77,"")</x:f>
        <x:v>0.021373685242682846</x:v>
      </x:c>
    </x:row>
    <x:row r="78">
      <x:c r="A78" s="13" t="str">
        <x:v>603195.SH</x:v>
      </x:c>
      <x:c r="B78" s="13" t="str">
        <x:v>公牛集团</x:v>
      </x:c>
      <x:c r="C78" s="13" t="str">
        <x:v>民营企业</x:v>
      </x:c>
      <x:c r="D78" s="13" t="str">
        <x:v>工业--电气设备--电气设备Ⅲ--电气部件与设备</x:v>
      </x:c>
      <x:c r="E78" s="13" t="str">
        <x:v>电气设备</x:v>
      </x:c>
      <x:c r="F78" s="13" t="n">
        <x:v>-96686209.09</x:v>
      </x:c>
      <x:c r="G78" s="13" t="n">
        <x:v>4070632747.77</x:v>
      </x:c>
      <x:c r="H78" s="13" t="n">
        <x:v>22556242542.63</x:v>
      </x:c>
      <x:c r="I78" s="13" t="n">
        <x:v>-118167719.43</x:v>
      </x:c>
      <x:c r="J78" s="13" t="n">
        <x:v>4272204565.03</x:v>
      </x:c>
      <x:c r="K78" s="13" t="n">
        <x:v>20494034490.68</x:v>
      </x:c>
      <x:c r="L78" s="13" t="n">
        <x:v>19762205724.93</x:v>
      </x:c>
      <x:c r="M78" s="13" t="n">
        <x:v>16337394047.63</x:v>
      </x:c>
      <x:c r="N78" s="13" t="n">
        <x:v>16697363009.06</x:v>
      </x:c>
      <x:c r="O78" s="13" t="n">
        <x:v>4388186523.61</x:v>
      </x:c>
      <x:c r="P78" s="13" t="n">
        <x:v>3538566001.45</x:v>
      </x:c>
      <x:c r="Q78" s="13" t="n">
        <x:v>4619054119.92</x:v>
      </x:c>
      <x:c r="R78" s="13" t="n">
        <x:v>938519618.43</x:v>
      </x:c>
      <x:c r="S78" s="13" t="n">
        <x:f>IFERROR((G78+F78)/H78,"")</x:f>
        <x:v>0.17617945591644837</x:v>
      </x:c>
      <x:c r="T78" s="13" t="n">
        <x:f>IFERROR(LN(K78),"")</x:f>
        <x:v>23.74339968028729</x:v>
      </x:c>
      <x:c r="U78" s="13" t="n">
        <x:f>IFERROR(N78/SUMIFS($N$2:$N$99,$E$2:$E$99,$E78),"")</x:f>
        <x:v>0.014843335670818945</x:v>
      </x:c>
      <x:c r="V78" s="13" t="n">
        <x:f>IFERROR(U78^2,"")</x:f>
        <x:v>0.0002203246138366061</x:v>
      </x:c>
      <x:c r="W78" s="13" t="n">
        <x:f>IFERROR(SUMIFS($V$2:$V$99,$E$2:$E$99,$E78),"")</x:f>
        <x:v>0.14616578354193543</x:v>
      </x:c>
      <x:c r="X78" s="13" t="n">
        <x:f>IFERROR(N78/AVERAGE(K78,L78),"")</x:f>
        <x:v>0.8295540229107302</x:v>
      </x:c>
      <x:c r="Y78" s="13" t="n">
        <x:f>IFERROR((M78-O78)/K78,"")</x:f>
        <x:v>0.5830578420005148</x:v>
      </x:c>
      <x:c r="Z78" s="13" t="n">
        <x:f>IFERROR(P78/K78,"")</x:f>
        <x:v>0.17266322075622645</x:v>
      </x:c>
      <x:c r="AA78" s="13" t="n">
        <x:f>IFERROR(Q78/K78,"")</x:f>
        <x:v>0.22538530039171112</x:v>
      </x:c>
      <x:c r="AB78" s="13" t="n">
        <x:f>IFERROR(M78/O78,"")</x:f>
        <x:v>3.72304002114063</x:v>
      </x:c>
      <x:c r="AC78" s="13" t="n">
        <x:f>IFERROR(R78/K78,"")</x:f>
        <x:v>0.04579477110067357</x:v>
      </x:c>
    </x:row>
    <x:row r="79">
      <x:c r="A79" s="13" t="str">
        <x:v>603259.SH</x:v>
      </x:c>
      <x:c r="B79" s="13" t="str">
        <x:v>药明康德</x:v>
      </x:c>
      <x:c r="C79" s="13" t="str">
        <x:v>民营企业</x:v>
      </x:c>
      <x:c r="D79" s="13" t="str">
        <x:v>医疗保健--医药生物--生命科学工具和服务Ⅲ--生命科学工具和服务Ⅳ</x:v>
      </x:c>
      <x:c r="E79" s="13" t="str">
        <x:v>医药生物</x:v>
      </x:c>
      <x:c r="F79" s="13" t="n">
        <x:v>306492000</x:v>
      </x:c>
      <x:c r="G79" s="13" t="n">
        <x:v>19194927000</x:v>
      </x:c>
      <x:c r="H79" s="13" t="n">
        <x:v>103120969000</x:v>
      </x:c>
      <x:c r="I79" s="13" t="n">
        <x:v>268565000</x:v>
      </x:c>
      <x:c r="J79" s="13" t="n">
        <x:v>9352608000</x:v>
      </x:c>
      <x:c r="K79" s="13" t="n">
        <x:v>80325824000</x:v>
      </x:c>
      <x:c r="L79" s="13" t="n">
        <x:v>73669349000</x:v>
      </x:c>
      <x:c r="M79" s="13" t="n">
        <x:v>38690152000</x:v>
      </x:c>
      <x:c r="N79" s="13" t="n">
        <x:v>39241431000</x:v>
      </x:c>
      <x:c r="O79" s="13" t="n">
        <x:v>16226115000</x:v>
      </x:c>
      <x:c r="P79" s="13" t="n">
        <x:v>25267837000</x:v>
      </x:c>
      <x:c r="Q79" s="13" t="n">
        <x:v>21240211000</x:v>
      </x:c>
      <x:c r="R79" s="13" t="n">
        <x:v>4003493000</x:v>
      </x:c>
      <x:c r="S79" s="13" t="n">
        <x:f>IFERROR((G79+F79)/H79,"")</x:f>
        <x:v>0.18911206119484777</x:v>
      </x:c>
      <x:c r="T79" s="13" t="n">
        <x:f>IFERROR(LN(K79),"")</x:f>
        <x:v>25.10935700022127</x:v>
      </x:c>
      <x:c r="U79" s="13" t="n">
        <x:f>IFERROR(N79/SUMIFS($N$2:$N$99,$E$2:$E$99,$E79),"")</x:f>
        <x:v>0.1896700710278351</x:v>
      </x:c>
      <x:c r="V79" s="13" t="n">
        <x:f>IFERROR(U79^2,"")</x:f>
        <x:v>0.03597473584370401</x:v>
      </x:c>
      <x:c r="W79" s="13" t="n">
        <x:f>IFERROR(SUMIFS($V$2:$V$99,$E$2:$E$99,$E79),"")</x:f>
        <x:v>0.13623235092080122</x:v>
      </x:c>
      <x:c r="X79" s="13" t="n">
        <x:f>IFERROR(N79/AVERAGE(K79,L79),"")</x:f>
        <x:v>0.5096449484166624</x:v>
      </x:c>
      <x:c r="Y79" s="13" t="n">
        <x:f>IFERROR((M79-O79)/K79,"")</x:f>
        <x:v>0.27966145731664077</x:v>
      </x:c>
      <x:c r="Z79" s="13" t="n">
        <x:f>IFERROR(P79/K79,"")</x:f>
        <x:v>0.31456679485790273</x:v>
      </x:c>
      <x:c r="AA79" s="13" t="n">
        <x:f>IFERROR(Q79/K79,"")</x:f>
        <x:v>0.26442568457187565</x:v>
      </x:c>
      <x:c r="AB79" s="13" t="n">
        <x:f>IFERROR(M79/O79,"")</x:f>
        <x:v>2.384437186597038</x:v>
      </x:c>
      <x:c r="AC79" s="13" t="n">
        <x:f>IFERROR(R79/K79,"")</x:f>
        <x:v>0.04984067141346723</x:v>
      </x:c>
    </x:row>
    <x:row r="80">
      <x:c r="A80" s="13" t="str">
        <x:v>603260.SH</x:v>
      </x:c>
      <x:c r="B80" s="13" t="str">
        <x:v>合盛硅业</x:v>
      </x:c>
      <x:c r="C80" s="13" t="str">
        <x:v>民营企业</x:v>
      </x:c>
      <x:c r="D80" s="13" t="str">
        <x:v>材料--化工--基础化工--商品化工</x:v>
      </x:c>
      <x:c r="E80" s="13" t="str">
        <x:v>化工</x:v>
      </x:c>
      <x:c r="F80" s="13" t="n">
        <x:v>1165138162.73</x:v>
      </x:c>
      <x:c r="G80" s="13" t="n">
        <x:v>-2990853048.26</x:v>
      </x:c>
      <x:c r="H80" s="13" t="n">
        <x:v>83606668256.61</x:v>
      </x:c>
      <x:c r="I80" s="13" t="n">
        <x:v>891684693.1</x:v>
      </x:c>
      <x:c r="J80" s="13" t="n">
        <x:v>1740476559.55</x:v>
      </x:c>
      <x:c r="K80" s="13" t="n">
        <x:v>90773438669.86</x:v>
      </x:c>
      <x:c r="L80" s="13" t="n">
        <x:v>83344046933.95</x:v>
      </x:c>
      <x:c r="M80" s="13" t="n">
        <x:v>13546103760.94</x:v>
      </x:c>
      <x:c r="N80" s="13" t="n">
        <x:v>26188634721.07</x:v>
      </x:c>
      <x:c r="O80" s="13" t="n">
        <x:v>37927525030.06</x:v>
      </x:c>
      <x:c r="P80" s="13" t="n">
        <x:v>68508769167.23</x:v>
      </x:c>
      <x:c r="Q80" s="13" t="n">
        <x:v>57943898736.42</x:v>
      </x:c>
      <x:c r="R80" s="13" t="n">
        <x:v>5608976992.57</x:v>
      </x:c>
      <x:c r="S80" s="13" t="n">
        <x:f>IFERROR((G80+F80)/H80,"")</x:f>
        <x:v>-0.021836953003873085</x:v>
      </x:c>
      <x:c r="T80" s="13" t="n">
        <x:f>IFERROR(LN(K80),"")</x:f>
        <x:v>25.231632554097345</x:v>
      </x:c>
      <x:c r="U80" s="13" t="n">
        <x:f>IFERROR(N80/SUMIFS($N$2:$N$99,$E$2:$E$99,$E80),"")</x:f>
        <x:v>0.045591272985943405</x:v>
      </x:c>
      <x:c r="V80" s="13" t="n">
        <x:f>IFERROR(U80^2,"")</x:f>
        <x:v>0.002078564172478813</x:v>
      </x:c>
      <x:c r="W80" s="13" t="n">
        <x:f>IFERROR(SUMIFS($V$2:$V$99,$E$2:$E$99,$E80),"")</x:f>
        <x:v>0.3404756158039197</x:v>
      </x:c>
      <x:c r="X80" s="13" t="n">
        <x:f>IFERROR(N80/AVERAGE(K80,L80),"")</x:f>
        <x:v>0.30081567776208396</x:v>
      </x:c>
      <x:c r="Y80" s="13" t="n">
        <x:f>IFERROR((M80-O80)/K80,"")</x:f>
        <x:v>-0.2685964267344153</x:v>
      </x:c>
      <x:c r="Z80" s="13" t="n">
        <x:f>IFERROR(P80/K80,"")</x:f>
        <x:v>0.7547226388150188</x:v>
      </x:c>
      <x:c r="AA80" s="13" t="n">
        <x:f>IFERROR(Q80/K80,"")</x:f>
        <x:v>0.638335393981934</x:v>
      </x:c>
      <x:c r="AB80" s="13" t="n">
        <x:f>IFERROR(M80/O80,"")</x:f>
        <x:v>0.35715759860955454</x:v>
      </x:c>
      <x:c r="AC80" s="13" t="n">
        <x:f>IFERROR(R80/K80,"")</x:f>
        <x:v>0.06179094980602932</x:v>
      </x:c>
    </x:row>
    <x:row r="81">
      <x:c r="A81" s="13" t="str">
        <x:v>603288.SH</x:v>
      </x:c>
      <x:c r="B81" s="13" t="str">
        <x:v>海天味业</x:v>
      </x:c>
      <x:c r="C81" s="13" t="str">
        <x:v>民营企业</x:v>
      </x:c>
      <x:c r="D81" s="13" t="str">
        <x:v>日常消费--食品饮料--食品--食品加工与肉类</x:v>
      </x:c>
      <x:c r="E81" s="13" t="str">
        <x:v>食品饮料</x:v>
      </x:c>
      <x:c r="F81" s="13" t="n">
        <x:v>25520000</x:v>
      </x:c>
      <x:c r="G81" s="13" t="n">
        <x:v>7038465000</x:v>
      </x:c>
      <x:c r="H81" s="13" t="n">
        <x:v>52183944000</x:v>
      </x:c>
      <x:c r="I81" s="13" t="n">
        <x:v>23961000</x:v>
      </x:c>
      <x:c r="J81" s="13" t="n">
        <x:v>6344126000</x:v>
      </x:c>
      <x:c r="K81" s="13" t="n">
        <x:v>40858435000</x:v>
      </x:c>
      <x:c r="L81" s="13" t="n">
        <x:v>38423517000</x:v>
      </x:c>
      <x:c r="M81" s="13" t="n">
        <x:v>32842109000</x:v>
      </x:c>
      <x:c r="N81" s="13" t="n">
        <x:v>26900978000</x:v>
      </x:c>
      <x:c r="O81" s="13" t="n">
        <x:v>8985791000</x:v>
      </x:c>
      <x:c r="P81" s="13" t="n">
        <x:v>5685335000</x:v>
      </x:c>
      <x:c r="Q81" s="13" t="n">
        <x:v>9456491000</x:v>
      </x:c>
      <x:c r="R81" s="13" t="n">
        <x:v>1575700000</x:v>
      </x:c>
      <x:c r="S81" s="13" t="n">
        <x:f>IFERROR((G81+F81)/H81,"")</x:f>
        <x:v>0.13536702017003543</x:v>
      </x:c>
      <x:c r="T81" s="13" t="n">
        <x:f>IFERROR(LN(K81),"")</x:f>
        <x:v>24.43337912408499</x:v>
      </x:c>
      <x:c r="U81" s="13" t="n">
        <x:f>IFERROR(N81/SUMIFS($N$2:$N$99,$E$2:$E$99,$E81),"")</x:f>
        <x:v>0.053510678823158755</x:v>
      </x:c>
      <x:c r="V81" s="13" t="n">
        <x:f>IFERROR(U81^2,"")</x:f>
        <x:v>0.002863392748115251</x:v>
      </x:c>
      <x:c r="W81" s="13" t="n">
        <x:f>IFERROR(SUMIFS($V$2:$V$99,$E$2:$E$99,$E81),"")</x:f>
        <x:v>0.21624588016252744</x:v>
      </x:c>
      <x:c r="X81" s="13" t="n">
        <x:f>IFERROR(N81/AVERAGE(K81,L81),"")</x:f>
        <x:v>0.6786154306594268</x:v>
      </x:c>
      <x:c r="Y81" s="13" t="n">
        <x:f>IFERROR((M81-O81)/K81,"")</x:f>
        <x:v>0.5838774294708057</x:v>
      </x:c>
      <x:c r="Z81" s="13" t="n">
        <x:f>IFERROR(P81/K81,"")</x:f>
        <x:v>0.13914715529363766</x:v>
      </x:c>
      <x:c r="AA81" s="13" t="n">
        <x:f>IFERROR(Q81/K81,"")</x:f>
        <x:v>0.23144525726450366</x:v>
      </x:c>
      <x:c r="AB81" s="13" t="n">
        <x:f>IFERROR(M81/O81,"")</x:f>
        <x:v>3.654893486839389</x:v>
      </x:c>
      <x:c r="AC81" s="13" t="n">
        <x:f>IFERROR(R81/K81,"")</x:f>
        <x:v>0.038564864268540874</x:v>
      </x:c>
    </x:row>
    <x:row r="82">
      <x:c r="A82" s="13" t="str">
        <x:v>603296.SH</x:v>
      </x:c>
      <x:c r="B82" s="13" t="str">
        <x:v>华勤技术</x:v>
      </x:c>
      <x:c r="C82" s="13" t="str">
        <x:v>民营企业</x:v>
      </x:c>
      <x:c r="D82" s="13" t="str">
        <x:v>信息技术--硬件设备--电脑与外围设备--电脑硬件、储存设备及电脑周边</x:v>
      </x:c>
      <x:c r="E82" s="13" t="str">
        <x:v>硬件设备</x:v>
      </x:c>
      <x:c r="F82" s="13" t="n">
        <x:v>308359000</x:v>
      </x:c>
      <x:c r="G82" s="13" t="n">
        <x:v>4081338000</x:v>
      </x:c>
      <x:c r="H82" s="13" t="n">
        <x:v>96205628000</x:v>
      </x:c>
      <x:c r="I82" s="13" t="n">
        <x:v>244092000</x:v>
      </x:c>
      <x:c r="J82" s="13" t="n">
        <x:v>2928940000</x:v>
      </x:c>
      <x:c r="K82" s="13" t="n">
        <x:v>76296823000</x:v>
      </x:c>
      <x:c r="L82" s="13" t="n">
        <x:v>51509636000</x:v>
      </x:c>
      <x:c r="M82" s="13" t="n">
        <x:v>56221556000</x:v>
      </x:c>
      <x:c r="N82" s="13" t="n">
        <x:v>109877987000</x:v>
      </x:c>
      <x:c r="O82" s="13" t="n">
        <x:v>49668933000</x:v>
      </x:c>
      <x:c r="P82" s="13" t="n">
        <x:v>9654042000</x:v>
      </x:c>
      <x:c r="Q82" s="13" t="n">
        <x:v>53372763000</x:v>
      </x:c>
      <x:c r="R82" s="13" t="n">
        <x:v>2066928000</x:v>
      </x:c>
      <x:c r="S82" s="13" t="n">
        <x:f>IFERROR((G82+F82)/H82,"")</x:f>
        <x:v>0.04562827654947588</x:v>
      </x:c>
      <x:c r="T82" s="13" t="n">
        <x:f>IFERROR(LN(K82),"")</x:f>
        <x:v>25.05789713609994</x:v>
      </x:c>
      <x:c r="U82" s="13" t="n">
        <x:f>IFERROR(N82/SUMIFS($N$2:$N$99,$E$2:$E$99,$E82),"")</x:f>
        <x:v>0.22276856094434785</x:v>
      </x:c>
      <x:c r="V82" s="13" t="n">
        <x:f>IFERROR(U82^2,"")</x:f>
        <x:v>0.04962583174521563</x:v>
      </x:c>
      <x:c r="W82" s="13" t="n">
        <x:f>IFERROR(SUMIFS($V$2:$V$99,$E$2:$E$99,$E82),"")</x:f>
        <x:v>0.12235054081259594</x:v>
      </x:c>
      <x:c r="X82" s="13" t="n">
        <x:f>IFERROR(N82/AVERAGE(K82,L82),"")</x:f>
        <x:v>1.7194434124804288</x:v>
      </x:c>
      <x:c r="Y82" s="13" t="n">
        <x:f>IFERROR((M82-O82)/K82,"")</x:f>
        <x:v>0.0858833008027084</x:v>
      </x:c>
      <x:c r="Z82" s="13" t="n">
        <x:f>IFERROR(P82/K82,"")</x:f>
        <x:v>0.12653268668867115</x:v>
      </x:c>
      <x:c r="AA82" s="13" t="n">
        <x:f>IFERROR(Q82/K82,"")</x:f>
        <x:v>0.6995410936049067</x:v>
      </x:c>
      <x:c r="AB82" s="13" t="n">
        <x:f>IFERROR(M82/O82,"")</x:f>
        <x:v>1.1319259868135279</x:v>
      </x:c>
      <x:c r="AC82" s="13" t="n">
        <x:f>IFERROR(R82/K82,"")</x:f>
        <x:v>0.027090616866183276</x:v>
      </x:c>
    </x:row>
    <x:row r="83">
      <x:c r="A83" s="13" t="str">
        <x:v>603392.SH</x:v>
      </x:c>
      <x:c r="B83" s="13" t="str">
        <x:v>万泰生物</x:v>
      </x:c>
      <x:c r="C83" s="13" t="str">
        <x:v>民营企业</x:v>
      </x:c>
      <x:c r="D83" s="13" t="str">
        <x:v>医疗保健--医药生物--生物科技Ⅲ--生物科技Ⅳ</x:v>
      </x:c>
      <x:c r="E83" s="13" t="str">
        <x:v>医药生物</x:v>
      </x:c>
      <x:c r="F83" s="13" t="n">
        <x:v>-11369740.74</x:v>
      </x:c>
      <x:c r="G83" s="13" t="n">
        <x:v>-398267667.27</x:v>
      </x:c>
      <x:c r="H83" s="13" t="n">
        <x:v>14044056851.29</x:v>
      </x:c>
      <x:c r="I83" s="13" t="n">
        <x:v>-58067911.74</x:v>
      </x:c>
      <x:c r="J83" s="13" t="n">
        <x:v>106235425.64</x:v>
      </x:c>
      <x:c r="K83" s="13" t="n">
        <x:v>14689396309.47</x:v>
      </x:c>
      <x:c r="L83" s="13" t="n">
        <x:v>15714997884.5</x:v>
      </x:c>
      <x:c r="M83" s="13" t="n">
        <x:v>8374875235.8</x:v>
      </x:c>
      <x:c r="N83" s="13" t="n">
        <x:v>2222303008.76</x:v>
      </x:c>
      <x:c r="O83" s="13" t="n">
        <x:v>2012071700.24</x:v>
      </x:c>
      <x:c r="P83" s="13" t="n">
        <x:v>3416989497.18</x:v>
      </x:c>
      <x:c r="Q83" s="13" t="n">
        <x:v>2241436443.7</x:v>
      </x:c>
      <x:c r="R83" s="13" t="n">
        <x:v>887349661.68</x:v>
      </x:c>
      <x:c r="S83" s="13" t="n">
        <x:f>IFERROR((G83+F83)/H83,"")</x:f>
        <x:v>-0.029168025474944813</x:v>
      </x:c>
      <x:c r="T83" s="13" t="n">
        <x:f>IFERROR(LN(K83),"")</x:f>
        <x:v>23.410391730948753</x:v>
      </x:c>
      <x:c r="U83" s="13" t="n">
        <x:f>IFERROR(N83/SUMIFS($N$2:$N$99,$E$2:$E$99,$E83),"")</x:f>
        <x:v>0.010741309854803227</x:v>
      </x:c>
      <x:c r="V83" s="13" t="n">
        <x:f>IFERROR(U83^2,"")</x:f>
        <x:v>0.00011537573739689294</x:v>
      </x:c>
      <x:c r="W83" s="13" t="n">
        <x:f>IFERROR(SUMIFS($V$2:$V$99,$E$2:$E$99,$E83),"")</x:f>
        <x:v>0.13623235092080122</x:v>
      </x:c>
      <x:c r="X83" s="13" t="n">
        <x:f>IFERROR(N83/AVERAGE(K83,L83),"")</x:f>
        <x:v>0.14618301516435028</x:v>
      </x:c>
      <x:c r="Y83" s="13" t="n">
        <x:f>IFERROR((M83-O83)/K83,"")</x:f>
        <x:v>0.43315623062453634</x:v>
      </x:c>
      <x:c r="Z83" s="13" t="n">
        <x:f>IFERROR(P83/K83,"")</x:f>
        <x:v>0.23261606026499032</x:v>
      </x:c>
      <x:c r="AA83" s="13" t="n">
        <x:f>IFERROR(Q83/K83,"")</x:f>
        <x:v>0.15258873792212854</x:v>
      </x:c>
      <x:c r="AB83" s="13" t="n">
        <x:f>IFERROR(M83/O83,"")</x:f>
        <x:v>4.162314511357147</x:v>
      </x:c>
      <x:c r="AC83" s="13" t="n">
        <x:f>IFERROR(R83/K83,"")</x:f>
        <x:v>0.06040749687636523</x:v>
      </x:c>
    </x:row>
    <x:row r="84">
      <x:c r="A84" s="13" t="str">
        <x:v>603501.SH</x:v>
      </x:c>
      <x:c r="B84" s="13" t="str">
        <x:v>豪威集团</x:v>
      </x:c>
      <x:c r="C84" s="13" t="str">
        <x:v>民营企业</x:v>
      </x:c>
      <x:c r="D84" s="13" t="str">
        <x:v>信息技术--半导体--半导体产品--集成电路</x:v>
      </x:c>
      <x:c r="E84" s="13" t="str">
        <x:v>半导体</x:v>
      </x:c>
      <x:c r="F84" s="13" t="n">
        <x:v>302467921.86</x:v>
      </x:c>
      <x:c r="G84" s="13" t="n">
        <x:v>4045416530.33</x:v>
      </x:c>
      <x:c r="H84" s="13" t="n">
        <x:v>43600508995.65</x:v>
      </x:c>
      <x:c r="I84" s="13" t="n">
        <x:v>326701000</x:v>
      </x:c>
      <x:c r="J84" s="13" t="n">
        <x:v>3317582000</x:v>
      </x:c>
      <x:c r="K84" s="13" t="n">
        <x:v>38964574000</x:v>
      </x:c>
      <x:c r="L84" s="13" t="n">
        <x:v>37743164000</x:v>
      </x:c>
      <x:c r="M84" s="13" t="n">
        <x:v>21804221000</x:v>
      </x:c>
      <x:c r="N84" s="13" t="n">
        <x:v>25706819000</x:v>
      </x:c>
      <x:c r="O84" s="13" t="n">
        <x:v>7595428000</x:v>
      </x:c>
      <x:c r="P84" s="13" t="n">
        <x:v>3527482000</x:v>
      </x:c>
      <x:c r="Q84" s="13" t="n">
        <x:v>14762184000</x:v>
      </x:c>
      <x:c r="R84" s="13" t="n">
        <x:v>1248619000</x:v>
      </x:c>
      <x:c r="S84" s="13" t="n">
        <x:f>IFERROR((G84+F84)/H84,"")</x:f>
        <x:v>0.09972095629947314</x:v>
      </x:c>
      <x:c r="T84" s="13" t="n">
        <x:f>IFERROR(LN(K84),"")</x:f>
        <x:v>24.38591871129368</x:v>
      </x:c>
      <x:c r="U84" s="13" t="n">
        <x:f>IFERROR(N84/SUMIFS($N$2:$N$99,$E$2:$E$99,$E84),"")</x:f>
        <x:v>0.45221634028659474</x:v>
      </x:c>
      <x:c r="V84" s="13" t="n">
        <x:f>IFERROR(U84^2,"")</x:f>
        <x:v>0.20449961842220124</x:v>
      </x:c>
      <x:c r="W84" s="13" t="n">
        <x:f>IFERROR(SUMIFS($V$2:$V$99,$E$2:$E$99,$E84),"")</x:f>
        <x:v>0.27301628783410753</x:v>
      </x:c>
      <x:c r="X84" s="13" t="n">
        <x:f>IFERROR(N84/AVERAGE(K84,L84),"")</x:f>
        <x:v>0.670253605966063</x:v>
      </x:c>
      <x:c r="Y84" s="13" t="n">
        <x:f>IFERROR((M84-O84)/K84,"")</x:f>
        <x:v>0.3646592671589326</x:v>
      </x:c>
      <x:c r="Z84" s="13" t="n">
        <x:f>IFERROR(P84/K84,"")</x:f>
        <x:v>0.09053049059384044</x:v>
      </x:c>
      <x:c r="AA84" s="13" t="n">
        <x:f>IFERROR(Q84/K84,"")</x:f>
        <x:v>0.3788616808693969</x:v>
      </x:c>
      <x:c r="AB84" s="13" t="n">
        <x:f>IFERROR(M84/O84,"")</x:f>
        <x:v>2.870703402099263</x:v>
      </x:c>
      <x:c r="AC84" s="13" t="n">
        <x:f>IFERROR(R84/K84,"")</x:f>
        <x:v>0.03204498014016527</x:v>
      </x:c>
    </x:row>
    <x:row r="85">
      <x:c r="A85" s="13" t="str">
        <x:v>603799.SH</x:v>
      </x:c>
      <x:c r="B85" s="13" t="str">
        <x:v>华友钴业</x:v>
      </x:c>
      <x:c r="C85" s="13" t="str">
        <x:v>民营企业</x:v>
      </x:c>
      <x:c r="D85" s="13" t="str">
        <x:v>材料--有色金属--其他金属与采矿--金属非金属</x:v>
      </x:c>
      <x:c r="E85" s="13" t="str">
        <x:v>有色金属</x:v>
      </x:c>
      <x:c r="F85" s="13" t="n">
        <x:v>2399184377.14</x:v>
      </x:c>
      <x:c r="G85" s="13" t="n">
        <x:v>6110378757.84</x:v>
      </x:c>
      <x:c r="H85" s="13" t="n">
        <x:v>159437759775.5</x:v>
      </x:c>
      <x:c r="I85" s="13" t="n">
        <x:v>2069820526.37</x:v>
      </x:c>
      <x:c r="J85" s="13" t="n">
        <x:v>4154825193.75</x:v>
      </x:c>
      <x:c r="K85" s="13" t="n">
        <x:v>136591394324.44</x:v>
      </x:c>
      <x:c r="L85" s="13" t="n">
        <x:v>125520277340.78</x:v>
      </x:c>
      <x:c r="M85" s="13" t="n">
        <x:v>54099187514.34</x:v>
      </x:c>
      <x:c r="N85" s="13" t="n">
        <x:v>60502773799.04</x:v>
      </x:c>
      <x:c r="O85" s="13" t="n">
        <x:v>52342679453.44</x:v>
      </x:c>
      <x:c r="P85" s="13" t="n">
        <x:v>61000458013.9</x:v>
      </x:c>
      <x:c r="Q85" s="13" t="n">
        <x:v>87930768807.29</x:v>
      </x:c>
      <x:c r="R85" s="13" t="n">
        <x:v>6721574787.22</x:v>
      </x:c>
      <x:c r="S85" s="13" t="n">
        <x:f>IFERROR((G85+F85)/H85,"")</x:f>
        <x:v>0.05337232000099654</x:v>
      </x:c>
      <x:c r="T85" s="13" t="n">
        <x:f>IFERROR(LN(K85),"")</x:f>
        <x:v>25.640259783009554</x:v>
      </x:c>
      <x:c r="U85" s="13" t="n">
        <x:f>IFERROR(N85/SUMIFS($N$2:$N$99,$E$2:$E$99,$E85),"")</x:f>
        <x:v>0.19818303404009233</x:v>
      </x:c>
      <x:c r="V85" s="13" t="n">
        <x:f>IFERROR(U85^2,"")</x:f>
        <x:v>0.03927651498133639</x:v>
      </x:c>
      <x:c r="W85" s="13" t="n">
        <x:f>IFERROR(SUMIFS($V$2:$V$99,$E$2:$E$99,$E85),"")</x:f>
        <x:v>0.5317816081836909</x:v>
      </x:c>
      <x:c r="X85" s="13" t="n">
        <x:f>IFERROR(N85/AVERAGE(K85,L85),"")</x:f>
        <x:v>0.46165646432041896</x:v>
      </x:c>
      <x:c r="Y85" s="13" t="n">
        <x:f>IFERROR((M85-O85)/K85,"")</x:f>
        <x:v>0.012859580719469276</x:v>
      </x:c>
      <x:c r="Z85" s="13" t="n">
        <x:f>IFERROR(P85/K85,"")</x:f>
        <x:v>0.4465907849875819</x:v>
      </x:c>
      <x:c r="AA85" s="13" t="n">
        <x:f>IFERROR(Q85/K85,"")</x:f>
        <x:v>0.6437504298289217</x:v>
      </x:c>
      <x:c r="AB85" s="13" t="n">
        <x:f>IFERROR(M85/O85,"")</x:f>
        <x:v>1.0335578552577243</x:v>
      </x:c>
      <x:c r="AC85" s="13" t="n">
        <x:f>IFERROR(R85/K85,"")</x:f>
        <x:v>0.04920935773782729</x:v>
      </x:c>
    </x:row>
    <x:row r="86">
      <x:c r="A86" s="13" t="str">
        <x:v>603893.SH</x:v>
      </x:c>
      <x:c r="B86" s="13" t="str">
        <x:v>瑞芯微</x:v>
      </x:c>
      <x:c r="C86" s="13" t="str">
        <x:v>民营企业</x:v>
      </x:c>
      <x:c r="D86" s="13" t="str">
        <x:v>信息技术--半导体--半导体产品--集成电路</x:v>
      </x:c>
      <x:c r="E86" s="13" t="str">
        <x:v>半导体</x:v>
      </x:c>
      <x:c r="F86" s="13" t="n">
        <x:v>-49904317.15</x:v>
      </x:c>
      <x:c r="G86" s="13" t="n">
        <x:v>1039952125</x:v>
      </x:c>
      <x:c r="H86" s="13" t="n">
        <x:v>5584701847.04</x:v>
      </x:c>
      <x:c r="I86" s="13" t="n">
        <x:v>-60739794.48</x:v>
      </x:c>
      <x:c r="J86" s="13" t="n">
        <x:v>594862210.27</x:v>
      </x:c>
      <x:c r="K86" s="13" t="n">
        <x:v>4265988219.99</x:v>
      </x:c>
      <x:c r="L86" s="13" t="n">
        <x:v>3507219550.74</x:v>
      </x:c>
      <x:c r="M86" s="13" t="n">
        <x:v>3618988782.77</x:v>
      </x:c>
      <x:c r="N86" s="13" t="n">
        <x:v>3124647739.06</x:v>
      </x:c>
      <x:c r="O86" s="13" t="n">
        <x:v>664194859.53</x:v>
      </x:c>
      <x:c r="P86" s="13" t="n">
        <x:v>37001324.93</x:v>
      </x:c>
      <x:c r="Q86" s="13" t="n">
        <x:v>720103928.08</x:v>
      </x:c>
      <x:c r="R86" s="13" t="n">
        <x:v>124807544.24</x:v>
      </x:c>
      <x:c r="S86" s="13" t="n">
        <x:f>IFERROR((G86+F86)/H86,"")</x:f>
        <x:v>0.17727854323588366</x:v>
      </x:c>
      <x:c r="T86" s="13" t="n">
        <x:f>IFERROR(LN(K86),"")</x:f>
        <x:v>22.17393969562045</x:v>
      </x:c>
      <x:c r="U86" s="13" t="n">
        <x:f>IFERROR(N86/SUMIFS($N$2:$N$99,$E$2:$E$99,$E86),"")</x:f>
        <x:v>0.05496661275914752</x:v>
      </x:c>
      <x:c r="V86" s="13" t="n">
        <x:f>IFERROR(U86^2,"")</x:f>
        <x:v>0.003021328518214079</x:v>
      </x:c>
      <x:c r="W86" s="13" t="n">
        <x:f>IFERROR(SUMIFS($V$2:$V$99,$E$2:$E$99,$E86),"")</x:f>
        <x:v>0.27301628783410753</x:v>
      </x:c>
      <x:c r="X86" s="13" t="n">
        <x:f>IFERROR(N86/AVERAGE(K86,L86),"")</x:f>
        <x:v>0.8039532278619531</x:v>
      </x:c>
      <x:c r="Y86" s="13" t="n">
        <x:f>IFERROR((M86-O86)/K86,"")</x:f>
        <x:v>0.6926399630908794</x:v>
      </x:c>
      <x:c r="Z86" s="13" t="n">
        <x:f>IFERROR(P86/K86,"")</x:f>
        <x:v>0.008673564722147014</x:v>
      </x:c>
      <x:c r="AA86" s="13" t="n">
        <x:f>IFERROR(Q86/K86,"")</x:f>
        <x:v>0.16880119938111035</x:v>
      </x:c>
      <x:c r="AB86" s="13" t="n">
        <x:f>IFERROR(M86/O86,"")</x:f>
        <x:v>5.44868532305547</x:v>
      </x:c>
      <x:c r="AC86" s="13" t="n">
        <x:f>IFERROR(R86/K86,"")</x:f>
        <x:v>0.029256420272133935</x:v>
      </x:c>
    </x:row>
    <x:row r="87">
      <x:c r="A87" s="13" t="str">
        <x:v>603986.SH</x:v>
      </x:c>
      <x:c r="B87" s="13" t="str">
        <x:v>兆易创新</x:v>
      </x:c>
      <x:c r="C87" s="13" t="str">
        <x:v>民营企业</x:v>
      </x:c>
      <x:c r="D87" s="13" t="str">
        <x:v>信息技术--半导体--半导体产品--集成电路</x:v>
      </x:c>
      <x:c r="E87" s="13" t="str">
        <x:v>半导体</x:v>
      </x:c>
      <x:c r="F87" s="13" t="n">
        <x:v>22132000</x:v>
      </x:c>
      <x:c r="G87" s="13" t="n">
        <x:v>1648022000</x:v>
      </x:c>
      <x:c r="H87" s="13" t="n">
        <x:v>21396582000</x:v>
      </x:c>
      <x:c r="I87" s="13" t="n">
        <x:v>19253000</x:v>
      </x:c>
      <x:c r="J87" s="13" t="n">
        <x:v>1102543000</x:v>
      </x:c>
      <x:c r="K87" s="13" t="n">
        <x:v>19228830000</x:v>
      </x:c>
      <x:c r="L87" s="13" t="n">
        <x:v>16455780000</x:v>
      </x:c>
      <x:c r="M87" s="13" t="n">
        <x:v>12434797000</x:v>
      </x:c>
      <x:c r="N87" s="13" t="n">
        <x:v>7355978000</x:v>
      </x:c>
      <x:c r="O87" s="13" t="n">
        <x:v>2330507000</x:v>
      </x:c>
      <x:c r="P87" s="13" t="n">
        <x:v>1089489000</x:v>
      </x:c>
      <x:c r="Q87" s="13" t="n">
        <x:v>2550053000</x:v>
      </x:c>
      <x:c r="R87" s="13" t="n">
        <x:v>499018000</x:v>
      </x:c>
      <x:c r="S87" s="13" t="n">
        <x:f>IFERROR((G87+F87)/H87,"")</x:f>
        <x:v>0.07805704668156811</x:v>
      </x:c>
      <x:c r="T87" s="13" t="n">
        <x:f>IFERROR(LN(K87),"")</x:f>
        <x:v>23.679676552262425</x:v>
      </x:c>
      <x:c r="U87" s="13" t="n">
        <x:f>IFERROR(N87/SUMIFS($N$2:$N$99,$E$2:$E$99,$E87),"")</x:f>
        <x:v>0.12940120869831093</x:v>
      </x:c>
      <x:c r="V87" s="13" t="n">
        <x:f>IFERROR(U87^2,"")</x:f>
        <x:v>0.01674467281258382</x:v>
      </x:c>
      <x:c r="W87" s="13" t="n">
        <x:f>IFERROR(SUMIFS($V$2:$V$99,$E$2:$E$99,$E87),"")</x:f>
        <x:v>0.27301628783410753</x:v>
      </x:c>
      <x:c r="X87" s="13" t="n">
        <x:f>IFERROR(N87/AVERAGE(K87,L87),"")</x:f>
        <x:v>0.41227733748526324</x:v>
      </x:c>
      <x:c r="Y87" s="13" t="n">
        <x:f>IFERROR((M87-O87)/K87,"")</x:f>
        <x:v>0.5254760690067987</x:v>
      </x:c>
      <x:c r="Z87" s="13" t="n">
        <x:f>IFERROR(P87/K87,"")</x:f>
        <x:v>0.05665914150782965</x:v>
      </x:c>
      <x:c r="AA87" s="13" t="n">
        <x:f>IFERROR(Q87/K87,"")</x:f>
        <x:v>0.13261612901044942</x:v>
      </x:c>
      <x:c r="AB87" s="13" t="n">
        <x:f>IFERROR(M87/O87,"")</x:f>
        <x:v>5.335661725109601</x:v>
      </x:c>
      <x:c r="AC87" s="13" t="n">
        <x:f>IFERROR(R87/K87,"")</x:f>
        <x:v>0.025951552954599943</x:v>
      </x:c>
    </x:row>
    <x:row r="88">
      <x:c r="A88" s="13" t="str">
        <x:v>603993.SH</x:v>
      </x:c>
      <x:c r="B88" s="13" t="str">
        <x:v>洛阳钼业</x:v>
      </x:c>
      <x:c r="C88" s="13" t="str">
        <x:v>民营企业</x:v>
      </x:c>
      <x:c r="D88" s="13" t="str">
        <x:v>材料--有色金属--其他金属与采矿--金属非金属</x:v>
      </x:c>
      <x:c r="E88" s="13" t="str">
        <x:v>有色金属</x:v>
      </x:c>
      <x:c r="F88" s="13" t="n">
        <x:v>2630714020.64</x:v>
      </x:c>
      <x:c r="G88" s="13" t="n">
        <x:v>20338750797.53</x:v>
      </x:c>
      <x:c r="H88" s="13" t="n">
        <x:v>200932364610.99</x:v>
      </x:c>
      <x:c r="I88" s="13" t="n">
        <x:v>4043301643.47</x:v>
      </x:c>
      <x:c r="J88" s="13" t="n">
        <x:v>13532035002.94</x:v>
      </x:c>
      <x:c r="K88" s="13" t="n">
        <x:v>170236431691.82</x:v>
      </x:c>
      <x:c r="L88" s="13" t="n">
        <x:v>172974530702.61</x:v>
      </x:c>
      <x:c r="M88" s="13" t="n">
        <x:v>79174392805.23</x:v>
      </x:c>
      <x:c r="N88" s="13" t="n">
        <x:v>213028664834.79</x:v>
      </x:c>
      <x:c r="O88" s="13" t="n">
        <x:v>45460596967.02</x:v>
      </x:c>
      <x:c r="P88" s="13" t="n">
        <x:v>48476813084.46</x:v>
      </x:c>
      <x:c r="Q88" s="13" t="n">
        <x:v>84294195547.05</x:v>
      </x:c>
      <x:c r="R88" s="13" t="n">
        <x:v>4901319114.82</x:v>
      </x:c>
      <x:c r="S88" s="13" t="n">
        <x:f>IFERROR((G88+F88)/H88,"")</x:f>
        <x:v>0.11431441053629886</x:v>
      </x:c>
      <x:c r="T88" s="13" t="n">
        <x:f>IFERROR(LN(K88),"")</x:f>
        <x:v>25.860454082423132</x:v>
      </x:c>
      <x:c r="U88" s="13" t="n">
        <x:f>IFERROR(N88/SUMIFS($N$2:$N$99,$E$2:$E$99,$E88),"")</x:f>
        <x:v>0.6977972162846274</x:v>
      </x:c>
      <x:c r="V88" s="13" t="n">
        <x:f>IFERROR(U88^2,"")</x:f>
        <x:v>0.4869209550545751</x:v>
      </x:c>
      <x:c r="W88" s="13" t="n">
        <x:f>IFERROR(SUMIFS($V$2:$V$99,$E$2:$E$99,$E88),"")</x:f>
        <x:v>0.5317816081836909</x:v>
      </x:c>
      <x:c r="X88" s="13" t="n">
        <x:f>IFERROR(N88/AVERAGE(K88,L88),"")</x:f>
        <x:v>1.2413861337562409</x:v>
      </x:c>
      <x:c r="Y88" s="13" t="n">
        <x:f>IFERROR((M88-O88)/K88,"")</x:f>
        <x:v>0.19804101568131008</x:v>
      </x:c>
      <x:c r="Z88" s="13" t="n">
        <x:f>IFERROR(P88/K88,"")</x:f>
        <x:v>0.28476168469166374</x:v>
      </x:c>
      <x:c r="AA88" s="13" t="n">
        <x:f>IFERROR(Q88/K88,"")</x:f>
        <x:v>0.49515955374140047</x:v>
      </x:c>
      <x:c r="AB88" s="13" t="n">
        <x:f>IFERROR(M88/O88,"")</x:f>
        <x:v>1.7416047761684283</x:v>
      </x:c>
      <x:c r="AC88" s="13" t="n">
        <x:f>IFERROR(R88/K88,"")</x:f>
        <x:v>0.028791246774326696</x:v>
      </x:c>
    </x:row>
    <x:row r="89">
      <x:c r="A89" s="13" t="str">
        <x:v>605117.SH</x:v>
      </x:c>
      <x:c r="B89" s="13" t="str">
        <x:v>德业股份</x:v>
      </x:c>
      <x:c r="C89" s="13" t="str">
        <x:v>民营企业</x:v>
      </x:c>
      <x:c r="D89" s="13" t="str">
        <x:v>工业--电气设备--电气设备Ⅲ--光伏设备</x:v>
      </x:c>
      <x:c r="E89" s="13" t="str">
        <x:v>电气设备</x:v>
      </x:c>
      <x:c r="F89" s="13" t="n">
        <x:v>-129277566.96</x:v>
      </x:c>
      <x:c r="G89" s="13" t="n">
        <x:v>3170769705.42</x:v>
      </x:c>
      <x:c r="H89" s="13" t="n">
        <x:v>19906773218.39</x:v>
      </x:c>
      <x:c r="I89" s="13" t="n">
        <x:v>43579000</x:v>
      </x:c>
      <x:c r="J89" s="13" t="n">
        <x:v>2960347000</x:v>
      </x:c>
      <x:c r="K89" s="13" t="n">
        <x:v>15114421000</x:v>
      </x:c>
      <x:c r="L89" s="13" t="n">
        <x:v>10817385000</x:v>
      </x:c>
      <x:c r="M89" s="13" t="n">
        <x:v>10814777000</x:v>
      </x:c>
      <x:c r="N89" s="13" t="n">
        <x:v>11206468000</x:v>
      </x:c>
      <x:c r="O89" s="13" t="n">
        <x:v>5510273000</x:v>
      </x:c>
      <x:c r="P89" s="13" t="n">
        <x:v>2413247000</x:v>
      </x:c>
      <x:c r="Q89" s="13" t="n">
        <x:v>5659705000</x:v>
      </x:c>
      <x:c r="R89" s="13" t="n">
        <x:v>462415000</x:v>
      </x:c>
      <x:c r="S89" s="13" t="n">
        <x:f>IFERROR((G89+F89)/H89,"")</x:f>
        <x:v>0.1527867979954808</x:v>
      </x:c>
      <x:c r="T89" s="13" t="n">
        <x:f>IFERROR(LN(K89),"")</x:f>
        <x:v>23.4389151581259</x:v>
      </x:c>
      <x:c r="U89" s="13" t="n">
        <x:f>IFERROR(N89/SUMIFS($N$2:$N$99,$E$2:$E$99,$E89),"")</x:f>
        <x:v>0.009962133908092799</x:v>
      </x:c>
      <x:c r="V89" s="13" t="n">
        <x:f>IFERROR(U89^2,"")</x:f>
        <x:v>0.00009924411200277229</x:v>
      </x:c>
      <x:c r="W89" s="13" t="n">
        <x:f>IFERROR(SUMIFS($V$2:$V$99,$E$2:$E$99,$E89),"")</x:f>
        <x:v>0.14616578354193543</x:v>
      </x:c>
      <x:c r="X89" s="13" t="n">
        <x:f>IFERROR(N89/AVERAGE(K89,L89),"")</x:f>
        <x:v>0.8643029336252168</x:v>
      </x:c>
      <x:c r="Y89" s="13" t="n">
        <x:f>IFERROR((M89-O89)/K89,"")</x:f>
        <x:v>0.35095648056912004</x:v>
      </x:c>
      <x:c r="Z89" s="13" t="n">
        <x:f>IFERROR(P89/K89,"")</x:f>
        <x:v>0.15966519656955433</x:v>
      </x:c>
      <x:c r="AA89" s="13" t="n">
        <x:f>IFERROR(Q89/K89,"")</x:f>
        <x:v>0.37445728155911495</x:v>
      </x:c>
      <x:c r="AB89" s="13" t="n">
        <x:f>IFERROR(M89/O89,"")</x:f>
        <x:v>1.962657204098599</x:v>
      </x:c>
      <x:c r="AC89" s="13" t="n">
        <x:f>IFERROR(R89/K89,"")</x:f>
        <x:v>0.030594291372458133</x:v>
      </x:c>
    </x:row>
    <x:row r="90">
      <x:c r="A90" s="13" t="str">
        <x:v>605499.SH</x:v>
      </x:c>
      <x:c r="B90" s="13" t="str">
        <x:v>东鹏饮料</x:v>
      </x:c>
      <x:c r="C90" s="13" t="str">
        <x:v>民营企业</x:v>
      </x:c>
      <x:c r="D90" s="13" t="str">
        <x:v>日常消费--食品饮料--饮料--软饮料</x:v>
      </x:c>
      <x:c r="E90" s="13" t="str">
        <x:v>食品饮料</x:v>
      </x:c>
      <x:c r="F90" s="13" t="n">
        <x:v>101132000</x:v>
      </x:c>
      <x:c r="G90" s="13" t="n">
        <x:v>4415263000</x:v>
      </x:c>
      <x:c r="H90" s="13" t="n">
        <x:v>26720736000</x:v>
      </x:c>
      <x:c r="I90" s="13" t="n">
        <x:v>102876000</x:v>
      </x:c>
      <x:c r="J90" s="13" t="n">
        <x:v>3326710000</x:v>
      </x:c>
      <x:c r="K90" s="13" t="n">
        <x:v>22676297000</x:v>
      </x:c>
      <x:c r="L90" s="13" t="n">
        <x:v>14710050000</x:v>
      </x:c>
      <x:c r="M90" s="13" t="n">
        <x:v>12705625000</x:v>
      </x:c>
      <x:c r="N90" s="13" t="n">
        <x:v>15830336000</x:v>
      </x:c>
      <x:c r="O90" s="13" t="n">
        <x:v>14845042000</x:v>
      </x:c>
      <x:c r="P90" s="13" t="n">
        <x:v>4279051000</x:v>
      </x:c>
      <x:c r="Q90" s="13" t="n">
        <x:v>14984716000</x:v>
      </x:c>
      <x:c r="R90" s="13" t="n">
        <x:v>1324489000</x:v>
      </x:c>
      <x:c r="S90" s="13" t="n">
        <x:f>IFERROR((G90+F90)/H90,"")</x:f>
        <x:v>0.1690221032833826</x:v>
      </x:c>
      <x:c r="T90" s="13" t="n">
        <x:f>IFERROR(LN(K90),"")</x:f>
        <x:v>23.844586030870765</x:v>
      </x:c>
      <x:c r="U90" s="13" t="n">
        <x:f>IFERROR(N90/SUMIFS($N$2:$N$99,$E$2:$E$99,$E90),"")</x:f>
        <x:v>0.031489265013290135</x:v>
      </x:c>
      <x:c r="V90" s="13" t="n">
        <x:f>IFERROR(U90^2,"")</x:f>
        <x:v>0.0009915738110772181</x:v>
      </x:c>
      <x:c r="W90" s="13" t="n">
        <x:f>IFERROR(SUMIFS($V$2:$V$99,$E$2:$E$99,$E90),"")</x:f>
        <x:v>0.21624588016252744</x:v>
      </x:c>
      <x:c r="X90" s="13" t="n">
        <x:f>IFERROR(N90/AVERAGE(K90,L90),"")</x:f>
        <x:v>0.8468511780517096</x:v>
      </x:c>
      <x:c r="Y90" s="13" t="n">
        <x:f>IFERROR((M90-O90)/K90,"")</x:f>
        <x:v>-0.09434595957179429</x:v>
      </x:c>
      <x:c r="Z90" s="13" t="n">
        <x:f>IFERROR(P90/K90,"")</x:f>
        <x:v>0.18870148860724484</x:v>
      </x:c>
      <x:c r="AA90" s="13" t="n">
        <x:f>IFERROR(Q90/K90,"")</x:f>
        <x:v>0.6608096551213807</x:v>
      </x:c>
      <x:c r="AB90" s="13" t="n">
        <x:f>IFERROR(M90/O90,"")</x:f>
        <x:v>0.855883398645824</x:v>
      </x:c>
      <x:c r="AC90" s="13" t="n">
        <x:f>IFERROR(R90/K90,"")</x:f>
        <x:v>0.058408522343837706</x:v>
      </x:c>
    </x:row>
    <x:row r="91">
      <x:c r="A91" s="13" t="str">
        <x:v>688036.SH</x:v>
      </x:c>
      <x:c r="B91" s="13" t="str">
        <x:v>传音控股</x:v>
      </x:c>
      <x:c r="C91" s="13" t="str">
        <x:v>民营企业</x:v>
      </x:c>
      <x:c r="D91" s="13" t="str">
        <x:v>信息技术--硬件设备--通信设备Ⅲ--通信设备Ⅳ</x:v>
      </x:c>
      <x:c r="E91" s="13" t="str">
        <x:v>硬件设备</x:v>
      </x:c>
      <x:c r="F91" s="13" t="n">
        <x:v>133243916.08</x:v>
      </x:c>
      <x:c r="G91" s="13" t="n">
        <x:v>2580636983</x:v>
      </x:c>
      <x:c r="H91" s="13" t="n">
        <x:v>44382261831.55</x:v>
      </x:c>
      <x:c r="I91" s="13" t="n">
        <x:v>81966000</x:v>
      </x:c>
      <x:c r="J91" s="13" t="n">
        <x:v>5548950000</x:v>
      </x:c>
      <x:c r="K91" s="13" t="n">
        <x:v>45062400000</x:v>
      </x:c>
      <x:c r="L91" s="13" t="n">
        <x:v>46121001000</x:v>
      </x:c>
      <x:c r="M91" s="13" t="n">
        <x:v>38809119000</x:v>
      </x:c>
      <x:c r="N91" s="13" t="n">
        <x:v>68715279000</x:v>
      </x:c>
      <x:c r="O91" s="13" t="n">
        <x:v>23985382000</x:v>
      </x:c>
      <x:c r="P91" s="13" t="n">
        <x:v>2792055000</x:v>
      </x:c>
      <x:c r="Q91" s="13" t="n">
        <x:v>24716864000</x:v>
      </x:c>
      <x:c r="R91" s="13"/>
      <x:c r="S91" s="13" t="n">
        <x:f>IFERROR((G91+F91)/H91,"")</x:f>
        <x:v>0.06114787275556976</x:v>
      </x:c>
      <x:c r="T91" s="13" t="n">
        <x:f>IFERROR(LN(K91),"")</x:f>
        <x:v>24.531314032849032</x:v>
      </x:c>
      <x:c r="U91" s="13" t="n">
        <x:f>IFERROR(N91/SUMIFS($N$2:$N$99,$E$2:$E$99,$E91),"")</x:f>
        <x:v>0.13931456368707743</x:v>
      </x:c>
      <x:c r="V91" s="13" t="n">
        <x:f>IFERROR(U91^2,"")</x:f>
        <x:v>0.01940854765532075</x:v>
      </x:c>
      <x:c r="W91" s="13" t="n">
        <x:f>IFERROR(SUMIFS($V$2:$V$99,$E$2:$E$99,$E91),"")</x:f>
        <x:v>0.12235054081259594</x:v>
      </x:c>
      <x:c r="X91" s="13" t="n">
        <x:f>IFERROR(N91/AVERAGE(K91,L91),"")</x:f>
        <x:v>1.507188331349913</x:v>
      </x:c>
      <x:c r="Y91" s="13" t="n">
        <x:f>IFERROR((M91-O91)/K91,"")</x:f>
        <x:v>0.32896021960659</x:v>
      </x:c>
      <x:c r="Z91" s="13" t="n">
        <x:f>IFERROR(P91/K91,"")</x:f>
        <x:v>0.06195974914784832</x:v>
      </x:c>
      <x:c r="AA91" s="13" t="n">
        <x:f>IFERROR(Q91/K91,"")</x:f>
        <x:v>0.5485030535435308</x:v>
      </x:c>
      <x:c r="AB91" s="13" t="n">
        <x:f>IFERROR(M91/O91,"")</x:f>
        <x:v>1.6180321414101306</x:v>
      </x:c>
      <x:c r="AC91" s="13" t="n">
        <x:f>IFERROR(R91/K91,"")</x:f>
        <x:v>0</x:v>
      </x:c>
    </x:row>
    <x:row r="92">
      <x:c r="A92" s="13" t="str">
        <x:v>688047.SH</x:v>
      </x:c>
      <x:c r="B92" s="13" t="str">
        <x:v>龙芯中科</x:v>
      </x:c>
      <x:c r="C92" s="13" t="str">
        <x:v>民营企业</x:v>
      </x:c>
      <x:c r="D92" s="13" t="str">
        <x:v>信息技术--半导体--半导体产品--集成电路</x:v>
      </x:c>
      <x:c r="E92" s="13" t="str">
        <x:v>半导体</x:v>
      </x:c>
      <x:c r="F92" s="13" t="n">
        <x:v>-1502303.27</x:v>
      </x:c>
      <x:c r="G92" s="13" t="n">
        <x:v>-455140256.17</x:v>
      </x:c>
      <x:c r="H92" s="13" t="n">
        <x:v>3161870916.43</x:v>
      </x:c>
      <x:c r="I92" s="13" t="n">
        <x:v>-5553627.18</x:v>
      </x:c>
      <x:c r="J92" s="13" t="n">
        <x:v>-625347147.32</x:v>
      </x:c>
      <x:c r="K92" s="13" t="n">
        <x:v>3497483392.2</x:v>
      </x:c>
      <x:c r="L92" s="13" t="n">
        <x:v>4112088980.64</x:v>
      </x:c>
      <x:c r="M92" s="13" t="n">
        <x:v>2601184867.17</x:v>
      </x:c>
      <x:c r="N92" s="13" t="n">
        <x:v>501918584.8</x:v>
      </x:c>
      <x:c r="O92" s="13" t="n">
        <x:v>385356001.17</x:v>
      </x:c>
      <x:c r="P92" s="13" t="n">
        <x:v>305108290.57</x:v>
      </x:c>
      <x:c r="Q92" s="13" t="n">
        <x:v>561086316.99</x:v>
      </x:c>
      <x:c r="R92" s="13" t="n">
        <x:v>71634807.1</x:v>
      </x:c>
      <x:c r="S92" s="13" t="n">
        <x:f>IFERROR((G92+F92)/H92,"")</x:f>
        <x:v>-0.14442163247941356</x:v>
      </x:c>
      <x:c r="T92" s="13" t="n">
        <x:f>IFERROR(LN(K92),"")</x:f>
        <x:v>21.97530951601515</x:v>
      </x:c>
      <x:c r="U92" s="13" t="n">
        <x:f>IFERROR(N92/SUMIFS($N$2:$N$99,$E$2:$E$99,$E92),"")</x:f>
        <x:v>0.008829399916811288</x:v>
      </x:c>
      <x:c r="V92" s="13" t="n">
        <x:f>IFERROR(U92^2,"")</x:f>
        <x:v>0.00007795830289098718</x:v>
      </x:c>
      <x:c r="W92" s="13" t="n">
        <x:f>IFERROR(SUMIFS($V$2:$V$99,$E$2:$E$99,$E92),"")</x:f>
        <x:v>0.27301628783410753</x:v>
      </x:c>
      <x:c r="X92" s="13" t="n">
        <x:f>IFERROR(N92/AVERAGE(K92,L92),"")</x:f>
        <x:v>0.13191768478119537</x:v>
      </x:c>
      <x:c r="Y92" s="13" t="n">
        <x:f>IFERROR((M92-O92)/K92,"")</x:f>
        <x:v>0.6335495033204979</x:v>
      </x:c>
      <x:c r="Z92" s="13" t="n">
        <x:f>IFERROR(P92/K92,"")</x:f>
        <x:v>0.08723652305267407</x:v>
      </x:c>
      <x:c r="AA92" s="13" t="n">
        <x:f>IFERROR(Q92/K92,"")</x:f>
        <x:v>0.160425727321914</x:v>
      </x:c>
      <x:c r="AB92" s="13" t="n">
        <x:f>IFERROR(M92/O92,"")</x:f>
        <x:v>6.750082674909443</x:v>
      </x:c>
      <x:c r="AC92" s="13" t="n">
        <x:f>IFERROR(R92/K92,"")</x:f>
        <x:v>0.020481814798537185</x:v>
      </x:c>
    </x:row>
    <x:row r="93">
      <x:c r="A93" s="13" t="str">
        <x:v>688111.SH</x:v>
      </x:c>
      <x:c r="B93" s="13" t="str">
        <x:v>金山办公</x:v>
      </x:c>
      <x:c r="C93" s="13" t="str">
        <x:v>民营企业</x:v>
      </x:c>
      <x:c r="D93" s="13" t="str">
        <x:v>信息技术--软件服务--软件--应用软件</x:v>
      </x:c>
      <x:c r="E93" s="13" t="str">
        <x:v>软件服务</x:v>
      </x:c>
      <x:c r="F93" s="13" t="n">
        <x:v>488890.74</x:v>
      </x:c>
      <x:c r="G93" s="13" t="n">
        <x:v>1836468727.81</x:v>
      </x:c>
      <x:c r="H93" s="13" t="n">
        <x:v>18155801690.14</x:v>
      </x:c>
      <x:c r="I93" s="13" t="n">
        <x:v>-15812274.93</x:v>
      </x:c>
      <x:c r="J93" s="13" t="n">
        <x:v>1645080509.02</x:v>
      </x:c>
      <x:c r="K93" s="13" t="n">
        <x:v>15912888756.23</x:v>
      </x:c>
      <x:c r="L93" s="13" t="n">
        <x:v>13974021307.95</x:v>
      </x:c>
      <x:c r="M93" s="13" t="n">
        <x:v>6104701854.86</x:v>
      </x:c>
      <x:c r="N93" s="13" t="n">
        <x:v>5071668434</x:v>
      </x:c>
      <x:c r="O93" s="13" t="n">
        <x:v>3462333138.5</x:v>
      </x:c>
      <x:c r="P93" s="13" t="n">
        <x:v>431610661.97</x:v>
      </x:c>
      <x:c r="Q93" s="13" t="n">
        <x:v>4476319129.69</x:v>
      </x:c>
      <x:c r="R93" s="13" t="n">
        <x:v>174991782.07</x:v>
      </x:c>
      <x:c r="S93" s="13" t="n">
        <x:f>IFERROR((G93+F93)/H93,"")</x:f>
        <x:v>0.10117744453816158</x:v>
      </x:c>
      <x:c r="T93" s="13" t="n">
        <x:f>IFERROR(LN(K93),"")</x:f>
        <x:v>23.490395231402207</x:v>
      </x:c>
      <x:c r="U93" s="13" t="n">
        <x:f>IFERROR(N93/SUMIFS($N$2:$N$99,$E$2:$E$99,$E93),"")</x:f>
        <x:v>0.059152403129921774</x:v>
      </x:c>
      <x:c r="V93" s="13" t="n">
        <x:f>IFERROR(U93^2,"")</x:f>
        <x:v>0.0034990067960447794</x:v>
      </x:c>
      <x:c r="W93" s="13" t="n">
        <x:f>IFERROR(SUMIFS($V$2:$V$99,$E$2:$E$99,$E93),"")</x:f>
        <x:v>0.23288063539086398</x:v>
      </x:c>
      <x:c r="X93" s="13" t="n">
        <x:f>IFERROR(N93/AVERAGE(K93,L93),"")</x:f>
        <x:v>0.33939061770580864</x:v>
      </x:c>
      <x:c r="Y93" s="13" t="n">
        <x:f>IFERROR((M93-O93)/K93,"")</x:f>
        <x:v>0.16605210762411038</x:v>
      </x:c>
      <x:c r="Z93" s="13" t="n">
        <x:f>IFERROR(P93/K93,"")</x:f>
        <x:v>0.027123338105472624</x:v>
      </x:c>
      <x:c r="AA93" s="13" t="n">
        <x:f>IFERROR(Q93/K93,"")</x:f>
        <x:v>0.2813014782081909</x:v>
      </x:c>
      <x:c r="AB93" s="13" t="n">
        <x:f>IFERROR(M93/O93,"")</x:f>
        <x:v>1.7631757576929075</x:v>
      </x:c>
      <x:c r="AC93" s="13" t="n">
        <x:f>IFERROR(R93/K93,"")</x:f>
        <x:v>0.010996858254381348</x:v>
      </x:c>
    </x:row>
    <x:row r="94">
      <x:c r="A94" s="13" t="str">
        <x:v>688169.SH</x:v>
      </x:c>
      <x:c r="B94" s="13" t="str">
        <x:v>石头科技</x:v>
      </x:c>
      <x:c r="C94" s="13" t="str">
        <x:v>民营企业</x:v>
      </x:c>
      <x:c r="D94" s="13" t="str">
        <x:v>可选消费--家电Ⅱ--家电Ⅲ--家用电器</x:v>
      </x:c>
      <x:c r="E94" s="13" t="str">
        <x:v>家电Ⅱ</x:v>
      </x:c>
      <x:c r="F94" s="13" t="n">
        <x:v>-152791423</x:v>
      </x:c>
      <x:c r="G94" s="13" t="n">
        <x:v>1363322277</x:v>
      </x:c>
      <x:c r="H94" s="13" t="n">
        <x:v>19669397566</x:v>
      </x:c>
      <x:c r="I94" s="13" t="n">
        <x:v>10323000</x:v>
      </x:c>
      <x:c r="J94" s="13" t="n">
        <x:v>1976563000</x:v>
      </x:c>
      <x:c r="K94" s="13" t="n">
        <x:v>17484730000</x:v>
      </x:c>
      <x:c r="L94" s="13" t="n">
        <x:v>14376642000</x:v>
      </x:c>
      <x:c r="M94" s="13" t="n">
        <x:v>11752453000</x:v>
      </x:c>
      <x:c r="N94" s="13" t="n">
        <x:v>11918473000</x:v>
      </x:c>
      <x:c r="O94" s="13" t="n">
        <x:v>4427367000</x:v>
      </x:c>
      <x:c r="P94" s="13" t="n">
        <x:v>1397852000</x:v>
      </x:c>
      <x:c r="Q94" s="13" t="n">
        <x:v>4614546000</x:v>
      </x:c>
      <x:c r="R94" s="13" t="n">
        <x:v>292545000</x:v>
      </x:c>
      <x:c r="S94" s="13" t="n">
        <x:f>IFERROR((G94+F94)/H94,"")</x:f>
        <x:v>0.06154387036705647</x:v>
      </x:c>
      <x:c r="T94" s="13" t="n">
        <x:f>IFERROR(LN(K94),"")</x:f>
        <x:v>23.58459376553526</x:v>
      </x:c>
      <x:c r="U94" s="13" t="n">
        <x:f>IFERROR(N94/SUMIFS($N$2:$N$99,$E$2:$E$99,$E94),"")</x:f>
        <x:v>0.022846423097762324</x:v>
      </x:c>
      <x:c r="V94" s="13" t="n">
        <x:f>IFERROR(U94^2,"")</x:f>
        <x:v>0.0005219590483619678</x:v>
      </x:c>
      <x:c r="W94" s="13" t="n">
        <x:f>IFERROR(SUMIFS($V$2:$V$99,$E$2:$E$99,$E94),"")</x:f>
        <x:v>0.6526875314442925</x:v>
      </x:c>
      <x:c r="X94" s="13" t="n">
        <x:f>IFERROR(N94/AVERAGE(K94,L94),"")</x:f>
        <x:v>0.7481456228564168</x:v>
      </x:c>
      <x:c r="Y94" s="13" t="n">
        <x:f>IFERROR((M94-O94)/K94,"")</x:f>
        <x:v>0.4189418995889556</x:v>
      </x:c>
      <x:c r="Z94" s="13" t="n">
        <x:f>IFERROR(P94/K94,"")</x:f>
        <x:v>0.07994701662536396</x:v>
      </x:c>
      <x:c r="AA94" s="13" t="n">
        <x:f>IFERROR(Q94/K94,"")</x:f>
        <x:v>0.26391863071377136</x:v>
      </x:c>
      <x:c r="AB94" s="13" t="n">
        <x:f>IFERROR(M94/O94,"")</x:f>
        <x:v>2.654501648496725</x:v>
      </x:c>
      <x:c r="AC94" s="13" t="n">
        <x:f>IFERROR(R94/K94,"")</x:f>
        <x:v>0.01673145653378691</x:v>
      </x:c>
    </x:row>
    <x:row r="95">
      <x:c r="A95" s="13" t="str">
        <x:v>688223.SH</x:v>
      </x:c>
      <x:c r="B95" s="13" t="str">
        <x:v>晶科能源</x:v>
      </x:c>
      <x:c r="C95" s="13" t="str">
        <x:v>民营企业</x:v>
      </x:c>
      <x:c r="D95" s="13" t="str">
        <x:v>工业--电气设备--电气设备Ⅲ--光伏设备</x:v>
      </x:c>
      <x:c r="E95" s="13" t="str">
        <x:v>电气设备</x:v>
      </x:c>
      <x:c r="F95" s="13" t="n">
        <x:v>1370318563.85</x:v>
      </x:c>
      <x:c r="G95" s="13" t="n">
        <x:v>-6881512301.12</x:v>
      </x:c>
      <x:c r="H95" s="13" t="n">
        <x:v>117962654800.03</x:v>
      </x:c>
      <x:c r="I95" s="13" t="n">
        <x:v>654704290.46</x:v>
      </x:c>
      <x:c r="J95" s="13" t="n">
        <x:v>98927562.18</x:v>
      </x:c>
      <x:c r="K95" s="13" t="n">
        <x:v>121109877893.38</x:v>
      </x:c>
      <x:c r="L95" s="13" t="n">
        <x:v>132116541807.07</x:v>
      </x:c>
      <x:c r="M95" s="13" t="n">
        <x:v>68790452676.93</x:v>
      </x:c>
      <x:c r="N95" s="13" t="n">
        <x:v>92045573706.01</x:v>
      </x:c>
      <x:c r="O95" s="13" t="n">
        <x:v>50089550175.28</x:v>
      </x:c>
      <x:c r="P95" s="13" t="n">
        <x:v>44470422332.14</x:v>
      </x:c>
      <x:c r="Q95" s="13" t="n">
        <x:v>87188831757.13</x:v>
      </x:c>
      <x:c r="R95" s="13" t="n">
        <x:v>9185144471.05</x:v>
      </x:c>
      <x:c r="S95" s="13" t="n">
        <x:f>IFERROR((G95+F95)/H95,"")</x:f>
        <x:v>-0.04671981778142042</x:v>
      </x:c>
      <x:c r="T95" s="13" t="n">
        <x:f>IFERROR(LN(K95),"")</x:f>
        <x:v>25.519964052249815</x:v>
      </x:c>
      <x:c r="U95" s="13" t="n">
        <x:f>IFERROR(N95/SUMIFS($N$2:$N$99,$E$2:$E$99,$E95),"")</x:f>
        <x:v>0.08182509698028827</x:v>
      </x:c>
      <x:c r="V95" s="13" t="n">
        <x:f>IFERROR(U95^2,"")</x:f>
        <x:v>0.00669534649583358</x:v>
      </x:c>
      <x:c r="W95" s="13" t="n">
        <x:f>IFERROR(SUMIFS($V$2:$V$99,$E$2:$E$99,$E95),"")</x:f>
        <x:v>0.14616578354193543</x:v>
      </x:c>
      <x:c r="X95" s="13" t="n">
        <x:f>IFERROR(N95/AVERAGE(K95,L95),"")</x:f>
        <x:v>0.7269823884482021</x:v>
      </x:c>
      <x:c r="Y95" s="13" t="n">
        <x:f>IFERROR((M95-O95)/K95,"")</x:f>
        <x:v>0.154412693885411</x:v>
      </x:c>
      <x:c r="Z95" s="13" t="n">
        <x:f>IFERROR(P95/K95,"")</x:f>
        <x:v>0.36719071231571937</x:v>
      </x:c>
      <x:c r="AA95" s="13" t="n">
        <x:f>IFERROR(Q95/K95,"")</x:f>
        <x:v>0.7199151157091196</x:v>
      </x:c>
      <x:c r="AB95" s="13" t="n">
        <x:f>IFERROR(M95/O95,"")</x:f>
        <x:v>1.373349379984634</x:v>
      </x:c>
      <x:c r="AC95" s="13" t="n">
        <x:f>IFERROR(R95/K95,"")</x:f>
        <x:v>0.07584141467912478</x:v>
      </x:c>
    </x:row>
    <x:row r="96">
      <x:c r="A96" s="13" t="str">
        <x:v>688256.SH</x:v>
      </x:c>
      <x:c r="B96" s="13" t="str">
        <x:v>寒武纪</x:v>
      </x:c>
      <x:c r="C96" s="13" t="str">
        <x:v>民营企业</x:v>
      </x:c>
      <x:c r="D96" s="13" t="str">
        <x:v>信息技术--半导体--半导体产品--集成电路</x:v>
      </x:c>
      <x:c r="E96" s="13" t="str">
        <x:v>半导体</x:v>
      </x:c>
      <x:c r="F96" s="13" t="n">
        <x:v>10961179.66</x:v>
      </x:c>
      <x:c r="G96" s="13" t="n">
        <x:v>2059228538.67</x:v>
      </x:c>
      <x:c r="H96" s="13" t="n">
        <x:v>13437714065.91</x:v>
      </x:c>
      <x:c r="I96" s="13" t="n">
        <x:v>-19318560.1</x:v>
      </x:c>
      <x:c r="J96" s="13" t="n">
        <x:v>-452338791.01</x:v>
      </x:c>
      <x:c r="K96" s="13" t="n">
        <x:v>6717812509.7</x:v>
      </x:c>
      <x:c r="L96" s="13" t="n">
        <x:v>6418036122.33</x:v>
      </x:c>
      <x:c r="M96" s="13" t="n">
        <x:v>5800316619.44</x:v>
      </x:c>
      <x:c r="N96" s="13" t="n">
        <x:v>1171492948.52</x:v>
      </x:c>
      <x:c r="O96" s="13" t="n">
        <x:v>818135979.38</x:v>
      </x:c>
      <x:c r="P96" s="13" t="n">
        <x:v>381652707.34</x:v>
      </x:c>
      <x:c r="Q96" s="13" t="n">
        <x:v>1287332938.05</x:v>
      </x:c>
      <x:c r="R96" s="13" t="n">
        <x:v>366049335.22</x:v>
      </x:c>
      <x:c r="S96" s="13" t="n">
        <x:f>IFERROR((G96+F96)/H96,"")</x:f>
        <x:v>0.15405817597963656</x:v>
      </x:c>
      <x:c r="T96" s="13" t="n">
        <x:f>IFERROR(LN(K96),"")</x:f>
        <x:v>22.62802841909865</x:v>
      </x:c>
      <x:c r="U96" s="13" t="n">
        <x:f>IFERROR(N96/SUMIFS($N$2:$N$99,$E$2:$E$99,$E96),"")</x:f>
        <x:v>0.0206080827756739</x:v>
      </x:c>
      <x:c r="V96" s="13" t="n">
        <x:f>IFERROR(U96^2,"")</x:f>
        <x:v>0.0004246930756890273</x:v>
      </x:c>
      <x:c r="W96" s="13" t="n">
        <x:f>IFERROR(SUMIFS($V$2:$V$99,$E$2:$E$99,$E96),"")</x:f>
        <x:v>0.27301628783410753</x:v>
      </x:c>
      <x:c r="X96" s="13" t="n">
        <x:f>IFERROR(N96/AVERAGE(K96,L96),"")</x:f>
        <x:v>0.17836578074803208</x:v>
      </x:c>
      <x:c r="Y96" s="13" t="n">
        <x:f>IFERROR((M96-O96)/K96,"")</x:f>
        <x:v>0.7416373459167128</x:v>
      </x:c>
      <x:c r="Z96" s="13" t="n">
        <x:f>IFERROR(P96/K96,"")</x:f>
        <x:v>0.056812051064081215</x:v>
      </x:c>
      <x:c r="AA96" s="13" t="n">
        <x:f>IFERROR(Q96/K96,"")</x:f>
        <x:v>0.19162978070483377</x:v>
      </x:c>
      <x:c r="AB96" s="13" t="n">
        <x:f>IFERROR(M96/O96,"")</x:f>
        <x:v>7.0896730685718</x:v>
      </x:c>
      <x:c r="AC96" s="13" t="n">
        <x:f>IFERROR(R96/K96,"")</x:f>
        <x:v>0.05448936460960368</x:v>
      </x:c>
    </x:row>
    <x:row r="97">
      <x:c r="A97" s="13" t="str">
        <x:v>688271.SH</x:v>
      </x:c>
      <x:c r="B97" s="13" t="str">
        <x:v>联影医疗</x:v>
      </x:c>
      <x:c r="C97" s="13" t="str">
        <x:v>民营企业</x:v>
      </x:c>
      <x:c r="D97" s="13" t="str">
        <x:v>医疗保健--医疗设备与服务--医疗保健设备与用品--医疗保健设备</x:v>
      </x:c>
      <x:c r="E97" s="13" t="str">
        <x:v>医疗设备与服务</x:v>
      </x:c>
      <x:c r="F97" s="13" t="n">
        <x:v>-30626038.58</x:v>
      </x:c>
      <x:c r="G97" s="13" t="n">
        <x:v>1869300805.65</x:v>
      </x:c>
      <x:c r="H97" s="13" t="n">
        <x:v>32784579366.01</x:v>
      </x:c>
      <x:c r="I97" s="13" t="n">
        <x:v>-112290178.67</x:v>
      </x:c>
      <x:c r="J97" s="13" t="n">
        <x:v>1261869451.27</x:v>
      </x:c>
      <x:c r="K97" s="13" t="n">
        <x:v>28035688872.48</x:v>
      </x:c>
      <x:c r="L97" s="13" t="n">
        <x:v>25336140321.96</x:v>
      </x:c>
      <x:c r="M97" s="13" t="n">
        <x:v>20893841318.46</x:v>
      </x:c>
      <x:c r="N97" s="13" t="n">
        <x:v>10243323210.94</x:v>
      </x:c>
      <x:c r="O97" s="13" t="n">
        <x:v>7075747152.06</x:v>
      </x:c>
      <x:c r="P97" s="13" t="n">
        <x:v>4714107765.24</x:v>
      </x:c>
      <x:c r="Q97" s="13" t="n">
        <x:v>8129447799.81</x:v>
      </x:c>
      <x:c r="R97" s="13" t="n">
        <x:v>1945732817.3</x:v>
      </x:c>
      <x:c r="S97" s="13" t="n">
        <x:f>IFERROR((G97+F97)/H97,"")</x:f>
        <x:v>0.056083524712727574</x:v>
      </x:c>
      <x:c r="T97" s="13" t="n">
        <x:f>IFERROR(LN(K97),"")</x:f>
        <x:v>24.056744138093894</x:v>
      </x:c>
      <x:c r="U97" s="13" t="n">
        <x:f>IFERROR(N97/SUMIFS($N$2:$N$99,$E$2:$E$99,$E97),"")</x:f>
        <x:v>0.08975416603781418</x:v>
      </x:c>
      <x:c r="V97" s="13" t="n">
        <x:f>IFERROR(U97^2,"")</x:f>
        <x:v>0.008055810321143516</x:v>
      </x:c>
      <x:c r="W97" s="13" t="n">
        <x:f>IFERROR(SUMIFS($V$2:$V$99,$E$2:$E$99,$E97),"")</x:f>
        <x:v>0.28019975017592524</x:v>
      </x:c>
      <x:c r="X97" s="13" t="n">
        <x:f>IFERROR(N97/AVERAGE(K97,L97),"")</x:f>
        <x:v>0.3838475602409031</x:v>
      </x:c>
      <x:c r="Y97" s="13" t="n">
        <x:f>IFERROR((M97-O97)/K97,"")</x:f>
        <x:v>0.49287514315240966</x:v>
      </x:c>
      <x:c r="Z97" s="13" t="n">
        <x:f>IFERROR(P97/K97,"")</x:f>
        <x:v>0.16814667143304604</x:v>
      </x:c>
      <x:c r="AA97" s="13" t="n">
        <x:f>IFERROR(Q97/K97,"")</x:f>
        <x:v>0.28996782767802487</x:v>
      </x:c>
      <x:c r="AB97" s="13" t="n">
        <x:f>IFERROR(M97/O97,"")</x:f>
        <x:v>2.9528812815727967</x:v>
      </x:c>
      <x:c r="AC97" s="13" t="n">
        <x:f>IFERROR(R97/K97,"")</x:f>
        <x:v>0.06940199779467317</x:v>
      </x:c>
    </x:row>
    <x:row r="98">
      <x:c r="A98" s="13" t="str">
        <x:v>688303.SH</x:v>
      </x:c>
      <x:c r="B98" s="13" t="str">
        <x:v>大全能源</x:v>
      </x:c>
      <x:c r="C98" s="13" t="str">
        <x:v>民营企业</x:v>
      </x:c>
      <x:c r="D98" s="13" t="str">
        <x:v>工业--电气设备--电气设备Ⅲ--光伏设备</x:v>
      </x:c>
      <x:c r="E98" s="13" t="str">
        <x:v>电气设备</x:v>
      </x:c>
      <x:c r="F98" s="13" t="n">
        <x:v>19346696.57</x:v>
      </x:c>
      <x:c r="G98" s="13" t="n">
        <x:v>-1129167857.67</x:v>
      </x:c>
      <x:c r="H98" s="13" t="n">
        <x:v>42704100006.61</x:v>
      </x:c>
      <x:c r="I98" s="13" t="n">
        <x:v>-143143245.21</x:v>
      </x:c>
      <x:c r="J98" s="13" t="n">
        <x:v>-2718132395.81</x:v>
      </x:c>
      <x:c r="K98" s="13" t="n">
        <x:v>44200249316.2</x:v>
      </x:c>
      <x:c r="L98" s="13" t="n">
        <x:v>50695054524.79</x:v>
      </x:c>
      <x:c r="M98" s="13" t="n">
        <x:v>16566412684.21</x:v>
      </x:c>
      <x:c r="N98" s="13" t="n">
        <x:v>7342305450.51</x:v>
      </x:c>
      <x:c r="O98" s="13" t="n">
        <x:v>3760771652.77</x:v>
      </x:c>
      <x:c r="P98" s="13" t="n">
        <x:v>25395892385.33</x:v>
      </x:c>
      <x:c r="Q98" s="13" t="n">
        <x:v>4042508028.88</x:v>
      </x:c>
      <x:c r="R98" s="13" t="n">
        <x:v>527204925.66</x:v>
      </x:c>
      <x:c r="S98" s="13" t="n">
        <x:f>IFERROR((G98+F98)/H98,"")</x:f>
        <x:v>-0.025988632494964543</x:v>
      </x:c>
      <x:c r="T98" s="13" t="n">
        <x:f>IFERROR(LN(K98),"")</x:f>
        <x:v>24.511996266652165</x:v>
      </x:c>
      <x:c r="U98" s="13" t="n">
        <x:f>IFERROR(N98/SUMIFS($N$2:$N$99,$E$2:$E$99,$E98),"")</x:f>
        <x:v>0.006527036894416711</x:v>
      </x:c>
      <x:c r="V98" s="13" t="n">
        <x:f>IFERROR(U98^2,"")</x:f>
        <x:v>0.00004260221062107694</x:v>
      </x:c>
      <x:c r="W98" s="13" t="n">
        <x:f>IFERROR(SUMIFS($V$2:$V$99,$E$2:$E$99,$E98),"")</x:f>
        <x:v>0.14616578354193543</x:v>
      </x:c>
      <x:c r="X98" s="13" t="n">
        <x:f>IFERROR(N98/AVERAGE(K98,L98),"")</x:f>
        <x:v>0.15474539104301796</x:v>
      </x:c>
      <x:c r="Y98" s="13" t="n">
        <x:f>IFERROR((M98-O98)/K98,"")</x:f>
        <x:v>0.28971875112809725</x:v>
      </x:c>
      <x:c r="Z98" s="13" t="n">
        <x:f>IFERROR(P98/K98,"")</x:f>
        <x:v>0.5745644601154333</x:v>
      </x:c>
      <x:c r="AA98" s="13" t="n">
        <x:f>IFERROR(Q98/K98,"")</x:f>
        <x:v>0.09145894178018506</x:v>
      </x:c>
      <x:c r="AB98" s="13" t="n">
        <x:f>IFERROR(M98/O98,"")</x:f>
        <x:v>4.40505678455856</x:v>
      </x:c>
      <x:c r="AC98" s="13" t="n">
        <x:f>IFERROR(R98/K98,"")</x:f>
        <x:v>0.011927645970693025</x:v>
      </x:c>
    </x:row>
    <x:row r="99">
      <x:c r="A99" s="13" t="str">
        <x:v>688506.SH</x:v>
      </x:c>
      <x:c r="B99" s="13" t="str">
        <x:v>百利天恒</x:v>
      </x:c>
      <x:c r="C99" s="13" t="str">
        <x:v>民营企业</x:v>
      </x:c>
      <x:c r="D99" s="13" t="str">
        <x:v>医疗保健--医药生物--制药--西药</x:v>
      </x:c>
      <x:c r="E99" s="13" t="str">
        <x:v>医药生物</x:v>
      </x:c>
      <x:c r="F99" s="13" t="n">
        <x:v>-42777542.96</x:v>
      </x:c>
      <x:c r="G99" s="13" t="n">
        <x:v>-1053617853.77</x:v>
      </x:c>
      <x:c r="H99" s="13" t="n">
        <x:v>11447802237.4</x:v>
      </x:c>
      <x:c r="I99" s="13" t="n">
        <x:v>42523000</x:v>
      </x:c>
      <x:c r="J99" s="13" t="n">
        <x:v>3707505000</x:v>
      </x:c>
      <x:c r="K99" s="13" t="n">
        <x:v>7137359000</x:v>
      </x:c>
      <x:c r="L99" s="13" t="n">
        <x:v>1425099000</x:v>
      </x:c>
      <x:c r="M99" s="13" t="n">
        <x:v>6307206000</x:v>
      </x:c>
      <x:c r="N99" s="13" t="n">
        <x:v>5821050000</x:v>
      </x:c>
      <x:c r="O99" s="13" t="n">
        <x:v>1994656000</x:v>
      </x:c>
      <x:c r="P99" s="13" t="n">
        <x:v>550466000</x:v>
      </x:c>
      <x:c r="Q99" s="13" t="n">
        <x:v>3251434000</x:v>
      </x:c>
      <x:c r="R99" s="13" t="n">
        <x:v>83879000</x:v>
      </x:c>
      <x:c r="S99" s="13" t="n">
        <x:f>IFERROR((G99+F99)/H99,"")</x:f>
        <x:v>-0.09577343965185504</x:v>
      </x:c>
      <x:c r="T99" s="13" t="n">
        <x:f>IFERROR(LN(K99),"")</x:f>
        <x:v>22.6886086569173</x:v>
      </x:c>
      <x:c r="U99" s="13" t="n">
        <x:f>IFERROR(N99/SUMIFS($N$2:$N$99,$E$2:$E$99,$E99),"")</x:f>
        <x:v>0.028135542940739836</x:v>
      </x:c>
      <x:c r="V99" s="13" t="n">
        <x:f>IFERROR(U99^2,"")</x:f>
        <x:v>0.0007916087765702152</x:v>
      </x:c>
      <x:c r="W99" s="13" t="n">
        <x:f>IFERROR(SUMIFS($V$2:$V$99,$E$2:$E$99,$E99),"")</x:f>
        <x:v>0.13623235092080122</x:v>
      </x:c>
      <x:c r="X99" s="13" t="n">
        <x:f>IFERROR(N99/AVERAGE(K99,L99),"")</x:f>
        <x:v>1.3596679831889393</x:v>
      </x:c>
      <x:c r="Y99" s="13" t="n">
        <x:f>IFERROR((M99-O99)/K99,"")</x:f>
        <x:v>0.6042220939145698</x:v>
      </x:c>
      <x:c r="Z99" s="13" t="n">
        <x:f>IFERROR(P99/K99,"")</x:f>
        <x:v>0.07712460589414095</x:v>
      </x:c>
      <x:c r="AA99" s="13" t="n">
        <x:f>IFERROR(Q99/K99,"")</x:f>
        <x:v>0.45555141614706507</x:v>
      </x:c>
      <x:c r="AB99" s="13" t="n">
        <x:f>IFERROR(M99/O99,"")</x:f>
        <x:v>3.1620520029518873</x:v>
      </x:c>
      <x:c r="AC99" s="13" t="n">
        <x:f>IFERROR(R99/K99,"")</x:f>
        <x:v>0.011752106066123338</x:v>
      </x:c>
    </x:row>
  </x:sheetData>
  <x:pageMargins left="0.7" right="0.7" top="0.75" bottom="0.75" header="0.3" footer="0.3"/>
  <x:tableParts count="1">
    <x:tablePart xmlns:r="http://schemas.openxmlformats.org/officeDocument/2006/relationships" r:id="R1642c99ce56f43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3.729999542236328" hidden="0" customWidth="1"/>
    <x:col min="4" max="4" width="42" hidden="0" customWidth="1"/>
    <x:col min="5" max="5" width="18" hidden="0" customWidth="1"/>
    <x:col min="6" max="6" width="12.789999961853027" hidden="0" customWidth="1"/>
    <x:col min="7" max="7" width="14.800000190734863" hidden="0" customWidth="1"/>
    <x:col min="8" max="8" width="12.789999961853027" hidden="0" customWidth="1"/>
    <x:col min="9" max="9" width="12.789999961853027" hidden="0" customWidth="1"/>
    <x:col min="10" max="10" width="14.800000190734863" hidden="0" customWidth="1"/>
    <x:col min="11" max="11" width="12.789999961853027" hidden="0" customWidth="1"/>
    <x:col min="12" max="12" width="12.789999961853027" hidden="0" customWidth="1"/>
    <x:col min="13" max="13" width="12.789999961853027" hidden="0" customWidth="1"/>
    <x:col min="14" max="14" width="12.789999961853027" hidden="0" customWidth="1"/>
    <x:col min="15" max="15" width="12.789999961853027" hidden="0" customWidth="1"/>
    <x:col min="16" max="16" width="16.690000534057617" hidden="0" customWidth="1"/>
    <x:col min="17" max="17" width="12.789999961853027" hidden="0" customWidth="1"/>
    <x:col min="18" max="18" width="14.800000190734863" hidden="0" customWidth="1"/>
    <x:col min="19" max="19" width="11.039999961853027" hidden="0" customWidth="1"/>
    <x:col min="20" max="20" width="11.710000038146973" hidden="0" customWidth="1"/>
    <x:col min="21" max="21" width="24.360000610351562" hidden="0" customWidth="1"/>
    <x:col min="22" max="22" width="21.399999618530273" hidden="0" customWidth="1"/>
    <x:col min="23" max="23" width="16.81999969482422" hidden="0" customWidth="1"/>
    <x:col min="24" max="24" width="16.690000534057617" hidden="0" customWidth="1"/>
    <x:col min="25" max="25" width="21.799999237060547" hidden="0" customWidth="1"/>
    <x:col min="26" max="26" width="18.709999084472656" hidden="0" customWidth="1"/>
    <x:col min="27" max="27" width="19.3799991607666" hidden="0" customWidth="1"/>
    <x:col min="28" max="28" width="15.34000015258789" hidden="0" customWidth="1"/>
    <x:col min="29" max="29" width="14.130000114440918" hidden="0" customWidth="1"/>
  </x:cols>
  <x:sheetData>
    <x:row r="1">
      <x:c r="A1" s="12" t="str">
        <x:v>证券代码</x:v>
      </x:c>
      <x:c r="B1" s="12" t="str">
        <x:v>证券简称</x:v>
      </x:c>
      <x:c r="C1" s="12" t="str">
        <x:v>企业所有制性质</x:v>
      </x:c>
      <x:c r="D1" s="12" t="str">
        <x:v>行业全路径</x:v>
      </x:c>
      <x:c r="E1" s="12" t="str">
        <x:v>二级行业</x:v>
      </x:c>
      <x:c r="F1" s="28" t="str">
        <x:v>利息支出_2025</x:v>
      </x:c>
      <x:c r="G1" s="28" t="str">
        <x:v>归母净利润_2025</x:v>
      </x:c>
      <x:c r="H1" s="28" t="str">
        <x:v>资产总计_2025</x:v>
      </x:c>
      <x:c r="I1" s="28" t="str">
        <x:v>利息支出_2024</x:v>
      </x:c>
      <x:c r="J1" s="28" t="str">
        <x:v>归母净利润_2024</x:v>
      </x:c>
      <x:c r="K1" s="28" t="str">
        <x:v>资产总计_2024</x:v>
      </x:c>
      <x:c r="L1" s="28" t="str">
        <x:v>资产总计_2023</x:v>
      </x:c>
      <x:c r="M1" s="28" t="str">
        <x:v>流动资产_2024</x:v>
      </x:c>
      <x:c r="N1" s="28" t="str">
        <x:v>营业收入_2024</x:v>
      </x:c>
      <x:c r="O1" s="28" t="str">
        <x:v>流动负债_2024</x:v>
      </x:c>
      <x:c r="P1" s="28" t="str">
        <x:v>固定资产净值_2024</x:v>
      </x:c>
      <x:c r="Q1" s="28" t="str">
        <x:v>负债合计_2024</x:v>
      </x:c>
      <x:c r="R1" s="28" t="str">
        <x:v>资本性支出_2024</x:v>
      </x:c>
      <x:c r="S1" s="30" t="str">
        <x:v>EBI/A_2025</x:v>
      </x:c>
      <x:c r="T1" s="30" t="str">
        <x:v>FirmSize_2024</x:v>
      </x:c>
      <x:c r="U1" s="30" t="str">
        <x:v>MarketShare_2024_二级行业</x:v>
      </x:c>
      <x:c r="V1" s="30" t="str">
        <x:v>MarketShare平方_辅助列</x:v>
      </x:c>
      <x:c r="W1" s="30" t="str">
        <x:v>HHI_2024_二级行业</x:v>
      </x:c>
      <x:c r="X1" s="30" t="str">
        <x:v>AssetTurnover_2024</x:v>
      </x:c>
      <x:c r="Y1" s="30" t="str">
        <x:v>WorkingCapitalRatio_2024</x:v>
      </x:c>
      <x:c r="Z1" s="30" t="str">
        <x:v>FixedAssetsRatio_2024</x:v>
      </x:c>
      <x:c r="AA1" s="30" t="str">
        <x:v>FinancialLeverage_2024</x:v>
      </x:c>
      <x:c r="AB1" s="30" t="str">
        <x:v>CurrentRatio_2024</x:v>
      </x:c>
      <x:c r="AC1" s="30" t="str">
        <x:v>CapexRatio_2024</x:v>
      </x:c>
    </x:row>
    <x:row r="2">
      <x:c r="A2" s="13" t="str">
        <x:v>000301.SZ</x:v>
      </x:c>
      <x:c r="B2" s="13" t="str">
        <x:v>东方盛虹</x:v>
      </x:c>
      <x:c r="C2" s="13" t="str">
        <x:v>民营企业</x:v>
      </x:c>
      <x:c r="D2" s="13" t="str">
        <x:v>材料--化工--基础化工--商品化工</x:v>
      </x:c>
      <x:c r="E2" s="13" t="str">
        <x:v>化工</x:v>
      </x:c>
      <x:c r="F2" s="13" t="n">
        <x:v>4555007972.6</x:v>
      </x:c>
      <x:c r="G2" s="13" t="n">
        <x:v>133746317.81</x:v>
      </x:c>
      <x:c r="H2" s="13" t="n">
        <x:v>205227818129.13</x:v>
      </x:c>
      <x:c r="I2" s="13" t="n">
        <x:v>4873766540.51</x:v>
      </x:c>
      <x:c r="J2" s="13" t="n">
        <x:v>-2296841255.74</x:v>
      </x:c>
      <x:c r="K2" s="13" t="n">
        <x:v>204312488701.89</x:v>
      </x:c>
      <x:c r="L2" s="13" t="n">
        <x:v>190214802161.82</x:v>
      </x:c>
      <x:c r="M2" s="13" t="n">
        <x:v>36926353376.68</x:v>
      </x:c>
      <x:c r="N2" s="13" t="n">
        <x:v>129267787949.74</x:v>
      </x:c>
      <x:c r="O2" s="13" t="n">
        <x:v>92099097347.26</x:v>
      </x:c>
      <x:c r="P2" s="13" t="n">
        <x:v>152325288941.97</x:v>
      </x:c>
      <x:c r="Q2" s="13" t="n">
        <x:v>166840344822.36</x:v>
      </x:c>
      <x:c r="R2" s="13" t="n">
        <x:v>12700852089.68</x:v>
      </x:c>
      <x:c r="S2" s="13" t="n">
        <x:v>0.02284658255958177</x:v>
      </x:c>
      <x:c r="T2" s="13" t="n">
        <x:v>26.042916466132656</x:v>
      </x:c>
      <x:c r="U2" s="13" t="n">
        <x:v>0.22503971938499165</x:v>
      </x:c>
      <x:c r="V2" s="13" t="n">
        <x:v>0.050642875300875786</x:v>
      </x:c>
      <x:c r="W2" s="13" t="n">
        <x:v>0.3404756158039197</x:v>
      </x:c>
      <x:c r="X2" s="13" t="n">
        <x:v>0.6553046693765767</x:v>
      </x:c>
      <x:c r="Y2" s="13" t="n">
        <x:v>-0.2700409765507869</x:v>
      </x:c>
      <x:c r="Z2" s="13" t="n">
        <x:v>0.745550553026771</x:v>
      </x:c>
      <x:c r="AA2" s="13" t="n">
        <x:v>0.8165939629162601</x:v>
      </x:c>
      <x:c r="AB2" s="13" t="n">
        <x:v>0.4009415340679078</x:v>
      </x:c>
      <x:c r="AC2" s="13" t="n">
        <x:v>0.06216385581897378</x:v>
      </x:c>
    </x:row>
    <x:row r="3">
      <x:c r="A3" s="13" t="str">
        <x:v>000333.SZ</x:v>
      </x:c>
      <x:c r="B3" s="13" t="str">
        <x:v>美的集团</x:v>
      </x:c>
      <x:c r="C3" s="13" t="str">
        <x:v>民营企业</x:v>
      </x:c>
      <x:c r="D3" s="13" t="str">
        <x:v>可选消费--家电Ⅱ--家电Ⅲ--家用电器</x:v>
      </x:c>
      <x:c r="E3" s="13" t="str">
        <x:v>家电Ⅱ</x:v>
      </x:c>
      <x:c r="F3" s="13" t="n">
        <x:v>3000695000</x:v>
      </x:c>
      <x:c r="G3" s="13" t="n">
        <x:v>43945411000</x:v>
      </x:c>
      <x:c r="H3" s="13" t="n">
        <x:v>608791766000</x:v>
      </x:c>
      <x:c r="I3" s="13" t="n">
        <x:v>1916510000</x:v>
      </x:c>
      <x:c r="J3" s="13" t="n">
        <x:v>38538987000</x:v>
      </x:c>
      <x:c r="K3" s="13" t="n">
        <x:v>604351853000</x:v>
      </x:c>
      <x:c r="L3" s="13" t="n">
        <x:v>486036015000</x:v>
      </x:c>
      <x:c r="M3" s="13" t="n">
        <x:v>389063786000</x:v>
      </x:c>
      <x:c r="N3" s="13" t="n">
        <x:v>409084266000</x:v>
      </x:c>
      <x:c r="O3" s="13" t="n">
        <x:v>351819806000</x:v>
      </x:c>
      <x:c r="P3" s="13" t="n">
        <x:v>38184639000</x:v>
      </x:c>
      <x:c r="Q3" s="13" t="n">
        <x:v>376684462000</x:v>
      </x:c>
      <x:c r="R3" s="13" t="n">
        <x:v>7839636000</x:v>
      </x:c>
      <x:c r="S3" s="13" t="n">
        <x:v>0.0771135692396996</x:v>
      </x:c>
      <x:c r="T3" s="13" t="n">
        <x:v>27.127422403351254</x:v>
      </x:c>
      <x:c r="U3" s="13" t="n">
        <x:v>0.7841702727919546</x:v>
      </x:c>
      <x:c r="V3" s="13" t="n">
        <x:v>0.6149230167306086</x:v>
      </x:c>
      <x:c r="W3" s="13" t="n">
        <x:v>0.6526875314442925</x:v>
      </x:c>
      <x:c r="X3" s="13" t="n">
        <x:v>0.7503463272208748</x:v>
      </x:c>
      <x:c r="Y3" s="13" t="n">
        <x:v>0.06162631886560957</x:v>
      </x:c>
      <x:c r="Z3" s="13" t="n">
        <x:v>0.06318279460955008</x:v>
      </x:c>
      <x:c r="AA3" s="13" t="n">
        <x:v>0.6232866832957323</x:v>
      </x:c>
      <x:c r="AB3" s="13" t="n">
        <x:v>1.1058609531494086</x:v>
      </x:c>
      <x:c r="AC3" s="13" t="n">
        <x:v>0.01297197313300866</x:v>
      </x:c>
    </x:row>
    <x:row r="4">
      <x:c r="A4" s="13" t="str">
        <x:v>000876.SZ</x:v>
      </x:c>
      <x:c r="B4" s="13" t="str">
        <x:v>新希望</x:v>
      </x:c>
      <x:c r="C4" s="13" t="str">
        <x:v>民营企业</x:v>
      </x:c>
      <x:c r="D4" s="13" t="str">
        <x:v>日常消费--食品饮料--食品--农产品</x:v>
      </x:c>
      <x:c r="E4" s="13" t="str">
        <x:v>食品饮料</x:v>
      </x:c>
      <x:c r="F4" s="13" t="n">
        <x:v>1971954038.78</x:v>
      </x:c>
      <x:c r="G4" s="13" t="n">
        <x:v>-1784352202.18</x:v>
      </x:c>
      <x:c r="H4" s="13" t="n">
        <x:v>114232592818.92</x:v>
      </x:c>
      <x:c r="I4" s="13" t="n">
        <x:v>1804175384.46</x:v>
      </x:c>
      <x:c r="J4" s="13" t="n">
        <x:v>473599068.1</x:v>
      </x:c>
      <x:c r="K4" s="13" t="n">
        <x:v>117913645385.32</x:v>
      </x:c>
      <x:c r="L4" s="13" t="n">
        <x:v>129610605533.07</x:v>
      </x:c>
      <x:c r="M4" s="13" t="n">
        <x:v>22305554549.13</x:v>
      </x:c>
      <x:c r="N4" s="13" t="n">
        <x:v>102890505597.97</x:v>
      </x:c>
      <x:c r="O4" s="13" t="n">
        <x:v>47135063011.94</x:v>
      </x:c>
      <x:c r="P4" s="13" t="n">
        <x:v>52372880952.1</x:v>
      </x:c>
      <x:c r="Q4" s="13" t="n">
        <x:v>81368210423.3</x:v>
      </x:c>
      <x:c r="R4" s="13" t="n">
        <x:v>2184088833.21</x:v>
      </x:c>
      <x:c r="S4" s="13" t="n">
        <x:v>0.0016422794228034714</x:v>
      </x:c>
      <x:c r="T4" s="13" t="n">
        <x:v>25.49321837473353</x:v>
      </x:c>
      <x:c r="U4" s="13" t="n">
        <x:v>0.20466693809442135</x:v>
      </x:c>
      <x:c r="V4" s="13" t="n">
        <x:v>0.0418885555489457</x:v>
      </x:c>
      <x:c r="W4" s="13" t="n">
        <x:v>0.21624588016252744</x:v>
      </x:c>
      <x:c r="X4" s="13" t="n">
        <x:v>0.8313569698016662</x:v>
      </x:c>
      <x:c r="Y4" s="13" t="n">
        <x:v>-0.2105736650043492</x:v>
      </x:c>
      <x:c r="Z4" s="13" t="n">
        <x:v>0.444163021005373</x:v>
      </x:c>
      <x:c r="AA4" s="13" t="n">
        <x:v>0.6900661086119738</x:v>
      </x:c>
      <x:c r="AB4" s="13" t="n">
        <x:v>0.47322636533825524</x:v>
      </x:c>
      <x:c r="AC4" s="13" t="n">
        <x:v>0.01852278272012371</x:v>
      </x:c>
    </x:row>
    <x:row r="5">
      <x:c r="A5" s="13" t="str">
        <x:v>000963.SZ</x:v>
      </x:c>
      <x:c r="B5" s="13" t="str">
        <x:v>华东医药</x:v>
      </x:c>
      <x:c r="C5" s="13" t="str">
        <x:v>民营企业</x:v>
      </x:c>
      <x:c r="D5" s="13" t="str">
        <x:v>医疗保健--医疗设备与服务--医疗保健提供商与服务--保健护理产品经销商</x:v>
      </x:c>
      <x:c r="E5" s="13" t="str">
        <x:v>医疗设备与服务</x:v>
      </x:c>
      <x:c r="F5" s="13" t="n">
        <x:v>18773120.98</x:v>
      </x:c>
      <x:c r="G5" s="13" t="n">
        <x:v>3414335326.41</x:v>
      </x:c>
      <x:c r="H5" s="13" t="n">
        <x:v>39038036320.92</x:v>
      </x:c>
      <x:c r="I5" s="13" t="n">
        <x:v>22264685.91</x:v>
      </x:c>
      <x:c r="J5" s="13" t="n">
        <x:v>3512104678.06</x:v>
      </x:c>
      <x:c r="K5" s="13" t="n">
        <x:v>37879046367.15</x:v>
      </x:c>
      <x:c r="L5" s="13" t="n">
        <x:v>33509361816.98</x:v>
      </x:c>
      <x:c r="M5" s="13" t="n">
        <x:v>21051790761.29</x:v>
      </x:c>
      <x:c r="N5" s="13" t="n">
        <x:v>41655068590.48</x:v>
      </x:c>
      <x:c r="O5" s="13" t="n">
        <x:v>13794235373.01</x:v>
      </x:c>
      <x:c r="P5" s="13" t="n">
        <x:v>5259040256.61</x:v>
      </x:c>
      <x:c r="Q5" s="13" t="n">
        <x:v>14315291455.03</x:v>
      </x:c>
      <x:c r="R5" s="13" t="n">
        <x:v>1727864860.12</x:v>
      </x:c>
      <x:c r="S5" s="13" t="n">
        <x:v>0.08794265211414437</x:v>
      </x:c>
      <x:c r="T5" s="13" t="n">
        <x:v>24.357663929845753</x:v>
      </x:c>
      <x:c r="U5" s="13" t="n">
        <x:v>0.3649905275461272</x:v>
      </x:c>
      <x:c r="V5" s="13" t="n">
        <x:v>0.13321808519840025</x:v>
      </x:c>
      <x:c r="W5" s="13" t="n">
        <x:v>0.28019975017592524</x:v>
      </x:c>
      <x:c r="X5" s="13" t="n">
        <x:v>1.1669981065564683</x:v>
      </x:c>
      <x:c r="Y5" s="13" t="n">
        <x:v>0.19159815476701123</x:v>
      </x:c>
      <x:c r="Z5" s="13" t="n">
        <x:v>0.13883771533305597</x:v>
      </x:c>
      <x:c r="AA5" s="13" t="n">
        <x:v>0.3779211154440443</x:v>
      </x:c>
      <x:c r="AB5" s="13" t="n">
        <x:v>1.5261295890658961</x:v>
      </x:c>
      <x:c r="AC5" s="13" t="n">
        <x:v>0.04561532102398605</x:v>
      </x:c>
    </x:row>
    <x:row r="6">
      <x:c r="A6" s="13" t="str">
        <x:v>002001.SZ</x:v>
      </x:c>
      <x:c r="B6" s="13" t="str">
        <x:v>新和成</x:v>
      </x:c>
      <x:c r="C6" s="13" t="str">
        <x:v>民营企业</x:v>
      </x:c>
      <x:c r="D6" s="13" t="str">
        <x:v>医疗保健--医药生物--制药--西药</x:v>
      </x:c>
      <x:c r="E6" s="13" t="str">
        <x:v>医药生物</x:v>
      </x:c>
      <x:c r="F6" s="13" t="n">
        <x:v>-14746421.76</x:v>
      </x:c>
      <x:c r="G6" s="13" t="n">
        <x:v>6764199225.29</x:v>
      </x:c>
      <x:c r="H6" s="13" t="n">
        <x:v>45606449805.48</x:v>
      </x:c>
      <x:c r="I6" s="13" t="n">
        <x:v>178047841.65</x:v>
      </x:c>
      <x:c r="J6" s="13" t="n">
        <x:v>5868545988.62</x:v>
      </x:c>
      <x:c r="K6" s="13" t="n">
        <x:v>42989132470.97</x:v>
      </x:c>
      <x:c r="L6" s="13" t="n">
        <x:v>39156246864.67</x:v>
      </x:c>
      <x:c r="M6" s="13" t="n">
        <x:v>16922201085.1</x:v>
      </x:c>
      <x:c r="N6" s="13" t="n">
        <x:v>21358846553.03</x:v>
      </x:c>
      <x:c r="O6" s="13" t="n">
        <x:v>6909199513.19</x:v>
      </x:c>
      <x:c r="P6" s="13" t="n">
        <x:v>22487595467.11</x:v>
      </x:c>
      <x:c r="Q6" s="13" t="n">
        <x:v>13543582208.04</x:v>
      </x:c>
      <x:c r="R6" s="13" t="n">
        <x:v>1599799315.13</x:v>
      </x:c>
      <x:c r="S6" s="13" t="n">
        <x:v>0.14799338322359387</x:v>
      </x:c>
      <x:c r="T6" s="13" t="n">
        <x:v>24.48421318746429</x:v>
      </x:c>
      <x:c r="U6" s="13" t="n">
        <x:v>0.10323614199456259</x:v>
      </x:c>
      <x:c r="V6" s="13" t="n">
        <x:v>0.01065770101392149</x:v>
      </x:c>
      <x:c r="W6" s="13" t="n">
        <x:v>0.13623235092080122</x:v>
      </x:c>
      <x:c r="X6" s="13" t="n">
        <x:v>0.5200255139308401</x:v>
      </x:c>
      <x:c r="Y6" s="13" t="n">
        <x:v>0.2329193681373228</x:v>
      </x:c>
      <x:c r="Z6" s="13" t="n">
        <x:v>0.523099541082751</x:v>
      </x:c>
      <x:c r="AA6" s="13" t="n">
        <x:v>0.3150466508526499</x:v>
      </x:c>
      <x:c r="AB6" s="13" t="n">
        <x:v>2.449227447086264</x:v>
      </x:c>
      <x:c r="AC6" s="13" t="n">
        <x:v>0.03721404046034946</x:v>
      </x:c>
    </x:row>
    <x:row r="7">
      <x:c r="A7" s="13" t="str">
        <x:v>002028.SZ</x:v>
      </x:c>
      <x:c r="B7" s="13" t="str">
        <x:v>思源电气</x:v>
      </x:c>
      <x:c r="C7" s="13" t="str">
        <x:v>民营企业</x:v>
      </x:c>
      <x:c r="D7" s="13" t="str">
        <x:v>工业--电气设备--电气设备Ⅲ--电气部件与设备</x:v>
      </x:c>
      <x:c r="E7" s="13" t="str">
        <x:v>电气设备</x:v>
      </x:c>
      <x:c r="F7" s="13" t="n">
        <x:v>-7608559.41</x:v>
      </x:c>
      <x:c r="G7" s="13" t="n">
        <x:v>3150142665.04</x:v>
      </x:c>
      <x:c r="H7" s="13" t="n">
        <x:v>29839923865.41</x:v>
      </x:c>
      <x:c r="I7" s="13" t="n">
        <x:v>7810000</x:v>
      </x:c>
      <x:c r="J7" s="13" t="n">
        <x:v>2049070000</x:v>
      </x:c>
      <x:c r="K7" s="13" t="n">
        <x:v>23415757000</x:v>
      </x:c>
      <x:c r="L7" s="13" t="n">
        <x:v>18650704000</x:v>
      </x:c>
      <x:c r="M7" s="13" t="n">
        <x:v>18103888000</x:v>
      </x:c>
      <x:c r="N7" s="13" t="n">
        <x:v>15458069000</x:v>
      </x:c>
      <x:c r="O7" s="13" t="n">
        <x:v>10236582000</x:v>
      </x:c>
      <x:c r="P7" s="13" t="n">
        <x:v>2731462000</x:v>
      </x:c>
      <x:c r="Q7" s="13" t="n">
        <x:v>10760415000</x:v>
      </x:c>
      <x:c r="R7" s="13" t="n">
        <x:v>921779000</x:v>
      </x:c>
      <x:c r="S7" s="13" t="n">
        <x:v>0.10531307384710788</x:v>
      </x:c>
      <x:c r="T7" s="13" t="n">
        <x:v>23.876675008762504</x:v>
      </x:c>
      <x:c r="U7" s="13" t="n">
        <x:v>0.013741649317031748</x:v>
      </x:c>
      <x:c r="V7" s="13" t="n">
        <x:v>0.0001888329259522791</x:v>
      </x:c>
      <x:c r="W7" s="13" t="n">
        <x:v>0.14616578354193543</x:v>
      </x:c>
      <x:c r="X7" s="13" t="n">
        <x:v>0.7349355582824046</x:v>
      </x:c>
      <x:c r="Y7" s="13" t="n">
        <x:v>0.3359834149286739</x:v>
      </x:c>
      <x:c r="Z7" s="13" t="n">
        <x:v>0.1166505955797201</x:v>
      </x:c>
      <x:c r="AA7" s="13" t="n">
        <x:v>0.45953735341548</x:v>
      </x:c>
      <x:c r="AB7" s="13" t="n">
        <x:v>1.7685481345238088</x:v>
      </x:c>
      <x:c r="AC7" s="13" t="n">
        <x:v>0.0393657569985886</x:v>
      </x:c>
    </x:row>
    <x:row r="8">
      <x:c r="A8" s="13" t="str">
        <x:v>002050.SZ</x:v>
      </x:c>
      <x:c r="B8" s="13" t="str">
        <x:v>三花智控</x:v>
      </x:c>
      <x:c r="C8" s="13" t="str">
        <x:v>民营企业</x:v>
      </x:c>
      <x:c r="D8" s="13" t="str">
        <x:v>工业--机械--机械Ⅲ--工业机械</x:v>
      </x:c>
      <x:c r="E8" s="13" t="str">
        <x:v>机械</x:v>
      </x:c>
      <x:c r="F8" s="13" t="n">
        <x:v>135704000</x:v>
      </x:c>
      <x:c r="G8" s="13" t="n">
        <x:v>4062892000</x:v>
      </x:c>
      <x:c r="H8" s="13" t="n">
        <x:v>49406131000</x:v>
      </x:c>
      <x:c r="I8" s="13" t="n">
        <x:v>132384000</x:v>
      </x:c>
      <x:c r="J8" s="13" t="n">
        <x:v>3099165000</x:v>
      </x:c>
      <x:c r="K8" s="13" t="n">
        <x:v>36354749000</x:v>
      </x:c>
      <x:c r="L8" s="13" t="n">
        <x:v>31890585000</x:v>
      </x:c>
      <x:c r="M8" s="13" t="n">
        <x:v>22301163000</x:v>
      </x:c>
      <x:c r="N8" s="13" t="n">
        <x:v>27947165000</x:v>
      </x:c>
      <x:c r="O8" s="13" t="n">
        <x:v>13633304000</x:v>
      </x:c>
      <x:c r="P8" s="13" t="n">
        <x:v>11405812000</x:v>
      </x:c>
      <x:c r="Q8" s="13" t="n">
        <x:v>16835105000</x:v>
      </x:c>
      <x:c r="R8" s="13" t="n">
        <x:v>3290148000</x:v>
      </x:c>
      <x:c r="S8" s="13" t="n">
        <x:v>0.08498127489481012</x:v>
      </x:c>
      <x:c r="T8" s="13" t="n">
        <x:v>24.316590678884864</x:v>
      </x:c>
      <x:c r="U8" s="13" t="n">
        <x:v>0.24169433831779052</x:v>
      </x:c>
      <x:c r="V8" s="13" t="n">
        <x:v>0.058416153174874585</x:v>
      </x:c>
      <x:c r="W8" s="13" t="n">
        <x:v>0.5244055085518771</x:v>
      </x:c>
      <x:c r="X8" s="13" t="n">
        <x:v>0.8190205355284802</x:v>
      </x:c>
      <x:c r="Y8" s="13" t="n">
        <x:v>0.23842439401795898</x:v>
      </x:c>
      <x:c r="Z8" s="13" t="n">
        <x:v>0.3137365079868933</x:v>
      </x:c>
      <x:c r="AA8" s="13" t="n">
        <x:v>0.4630785650589968</x:v>
      </x:c>
      <x:c r="AB8" s="13" t="n">
        <x:v>1.635785646678164</x:v>
      </x:c>
      <x:c r="AC8" s="13" t="n">
        <x:v>0.09050118871677536</x:v>
      </x:c>
    </x:row>
    <x:row r="9">
      <x:c r="A9" s="13" t="str">
        <x:v>002074.SZ</x:v>
      </x:c>
      <x:c r="B9" s="13" t="str">
        <x:v>国轩高科</x:v>
      </x:c>
      <x:c r="C9" s="13" t="str">
        <x:v>民营企业</x:v>
      </x:c>
      <x:c r="D9" s="13" t="str">
        <x:v>工业--电气设备--电气设备Ⅲ--电气部件与设备</x:v>
      </x:c>
      <x:c r="E9" s="13" t="str">
        <x:v>电气设备</x:v>
      </x:c>
      <x:c r="F9" s="13" t="n">
        <x:v>1442765291.76</x:v>
      </x:c>
      <x:c r="G9" s="13" t="n">
        <x:v>2383271938.21</x:v>
      </x:c>
      <x:c r="H9" s="13" t="n">
        <x:v>127214519738.62</x:v>
      </x:c>
      <x:c r="I9" s="13" t="n">
        <x:v>842650250.38</x:v>
      </x:c>
      <x:c r="J9" s="13" t="n">
        <x:v>1206790129.59</x:v>
      </x:c>
      <x:c r="K9" s="13" t="n">
        <x:v>107839685095.13</x:v>
      </x:c>
      <x:c r="L9" s="13" t="n">
        <x:v>93592652122.38</x:v>
      </x:c>
      <x:c r="M9" s="13" t="n">
        <x:v>48762776435.99</x:v>
      </x:c>
      <x:c r="N9" s="13" t="n">
        <x:v>35116250530.83</x:v>
      </x:c>
      <x:c r="O9" s="13" t="n">
        <x:v>55571739076.81</x:v>
      </x:c>
      <x:c r="P9" s="13" t="n">
        <x:v>44817255554.21</x:v>
      </x:c>
      <x:c r="Q9" s="13" t="n">
        <x:v>77943425823.11</x:v>
      </x:c>
      <x:c r="R9" s="13" t="n">
        <x:v>9068397787.47</x:v>
      </x:c>
      <x:c r="S9" s="13" t="n">
        <x:v>0.030075475958492224</x:v>
      </x:c>
      <x:c r="T9" s="13" t="n">
        <x:v>25.40391156399422</x:v>
      </x:c>
      <x:c r="U9" s="13" t="n">
        <x:v>0.03121704270589657</x:v>
      </x:c>
      <x:c r="V9" s="13" t="n">
        <x:v>0.0009745037553017703</x:v>
      </x:c>
      <x:c r="W9" s="13" t="n">
        <x:v>0.14616578354193543</x:v>
      </x:c>
      <x:c r="X9" s="13" t="n">
        <x:v>0.3486654726436589</x:v>
      </x:c>
      <x:c r="Y9" s="13" t="n">
        <x:v>-0.06313967473860409</x:v>
      </x:c>
      <x:c r="Z9" s="13" t="n">
        <x:v>0.4155914913389702</x:v>
      </x:c>
      <x:c r="AA9" s="13" t="n">
        <x:v>0.7227712669445646</x:v>
      </x:c>
      <x:c r="AB9" s="13" t="n">
        <x:v>0.8774743645972856</x:v>
      </x:c>
      <x:c r="AC9" s="13" t="n">
        <x:v>0.08409147133052527</x:v>
      </x:c>
    </x:row>
    <x:row r="10">
      <x:c r="A10" s="13" t="str">
        <x:v>002230.SZ</x:v>
      </x:c>
      <x:c r="B10" s="13" t="str">
        <x:v>科大讯飞</x:v>
      </x:c>
      <x:c r="C10" s="13" t="str">
        <x:v>民营企业</x:v>
      </x:c>
      <x:c r="D10" s="13" t="str">
        <x:v>信息技术--软件服务--软件--应用软件</x:v>
      </x:c>
      <x:c r="E10" s="13" t="str">
        <x:v>软件服务</x:v>
      </x:c>
      <x:c r="F10" s="13" t="n">
        <x:v>172981046.56</x:v>
      </x:c>
      <x:c r="G10" s="13" t="n">
        <x:v>839390861.36</x:v>
      </x:c>
      <x:c r="H10" s="13" t="n">
        <x:v>44857109349.34</x:v>
      </x:c>
      <x:c r="I10" s="13" t="n">
        <x:v>134760518.04</x:v>
      </x:c>
      <x:c r="J10" s="13" t="n">
        <x:v>560162663.16</x:v>
      </x:c>
      <x:c r="K10" s="13" t="n">
        <x:v>41478899803.2</x:v>
      </x:c>
      <x:c r="L10" s="13" t="n">
        <x:v>37831122978.15</x:v>
      </x:c>
      <x:c r="M10" s="13" t="n">
        <x:v>24062142022.92</x:v>
      </x:c>
      <x:c r="N10" s="13" t="n">
        <x:v>23199141890.81</x:v>
      </x:c>
      <x:c r="O10" s="13" t="n">
        <x:v>15359047904.03</x:v>
      </x:c>
      <x:c r="P10" s="13" t="n">
        <x:v>6070182217.22</x:v>
      </x:c>
      <x:c r="Q10" s="13" t="n">
        <x:v>22764027052.88</x:v>
      </x:c>
      <x:c r="R10" s="13" t="n">
        <x:v>3220014055.18</x:v>
      </x:c>
      <x:c r="S10" s="13" t="n">
        <x:v>0.022568817353695477</x:v>
      </x:c>
      <x:c r="T10" s="13" t="n">
        <x:v>24.448450696407285</x:v>
      </x:c>
      <x:c r="U10" s="13" t="n">
        <x:v>0.2705786096334248</x:v>
      </x:c>
      <x:c r="V10" s="13" t="n">
        <x:v>0.07321278399115727</x:v>
      </x:c>
      <x:c r="W10" s="13" t="n">
        <x:v>0.23288063539086398</x:v>
      </x:c>
      <x:c r="X10" s="13" t="n">
        <x:v>0.5850242145250109</x:v>
      </x:c>
      <x:c r="Y10" s="13" t="n">
        <x:v>0.20981979175394075</x:v>
      </x:c>
      <x:c r="Z10" s="13" t="n">
        <x:v>0.14634385786557677</x:v>
      </x:c>
      <x:c r="AA10" s="13" t="n">
        <x:v>0.5488098083817501</x:v>
      </x:c>
      <x:c r="AB10" s="13" t="n">
        <x:v>1.5666428136216977</x:v>
      </x:c>
      <x:c r="AC10" s="13" t="n">
        <x:v>0.07763017029037939</x:v>
      </x:c>
    </x:row>
    <x:row r="11">
      <x:c r="A11" s="13" t="str">
        <x:v>002236.SZ</x:v>
      </x:c>
      <x:c r="B11" s="13" t="str">
        <x:v>大华股份</x:v>
      </x:c>
      <x:c r="C11" s="13" t="str">
        <x:v>民营企业</x:v>
      </x:c>
      <x:c r="D11" s="13" t="str">
        <x:v>信息技术--硬件设备--电子设备、仪器和元件--电子设备和仪器</x:v>
      </x:c>
      <x:c r="E11" s="13" t="str">
        <x:v>硬件设备</x:v>
      </x:c>
      <x:c r="F11" s="13" t="n">
        <x:v>-356374741.08</x:v>
      </x:c>
      <x:c r="G11" s="13" t="n">
        <x:v>3857923611.86</x:v>
      </x:c>
      <x:c r="H11" s="13" t="n">
        <x:v>52558604784.24</x:v>
      </x:c>
      <x:c r="I11" s="13" t="n">
        <x:v>-389890980.61</x:v>
      </x:c>
      <x:c r="J11" s="13" t="n">
        <x:v>2905728684.03</x:v>
      </x:c>
      <x:c r="K11" s="13" t="n">
        <x:v>52735912081.82</x:v>
      </x:c>
      <x:c r="L11" s="13" t="n">
        <x:v>52881927214</x:v>
      </x:c>
      <x:c r="M11" s="13" t="n">
        <x:v>37246063663.15</x:v>
      </x:c>
      <x:c r="N11" s="13" t="n">
        <x:v>31959615055.7</x:v>
      </x:c>
      <x:c r="O11" s="13" t="n">
        <x:v>14890730488.33</x:v>
      </x:c>
      <x:c r="P11" s="13" t="n">
        <x:v>6228507815.41</x:v>
      </x:c>
      <x:c r="Q11" s="13" t="n">
        <x:v>15561703251.21</x:v>
      </x:c>
      <x:c r="R11" s="13" t="n">
        <x:v>907507733.38</x:v>
      </x:c>
      <x:c r="S11" s="13" t="n">
        <x:v>0.06662180027712532</x:v>
      </x:c>
      <x:c r="T11" s="13" t="n">
        <x:v>24.68856250409421</x:v>
      </x:c>
      <x:c r="U11" s="13" t="n">
        <x:v>0.06479548496182044</x:v>
      </x:c>
      <x:c r="V11" s="13" t="n">
        <x:v>0.004198454871437499</x:v>
      </x:c>
      <x:c r="W11" s="13" t="n">
        <x:v>0.12235054081259594</x:v>
      </x:c>
      <x:c r="X11" s="13" t="n">
        <x:v>0.60519350270338</x:v>
      </x:c>
      <x:c r="Y11" s="13" t="n">
        <x:v>0.4239109990197117</x:v>
      </x:c>
      <x:c r="Z11" s="13" t="n">
        <x:v>0.11810752046435534</x:v>
      </x:c>
      <x:c r="AA11" s="13" t="n">
        <x:v>0.2950874012962163</x:v>
      </x:c>
      <x:c r="AB11" s="13" t="n">
        <x:v>2.5012919072264506</x:v>
      </x:c>
      <x:c r="AC11" s="13" t="n">
        <x:v>0.017208533948782335</x:v>
      </x:c>
    </x:row>
    <x:row r="12">
      <x:c r="A12" s="13" t="str">
        <x:v>002241.SZ</x:v>
      </x:c>
      <x:c r="B12" s="13" t="str">
        <x:v>歌尔股份</x:v>
      </x:c>
      <x:c r="C12" s="13" t="str">
        <x:v>民营企业</x:v>
      </x:c>
      <x:c r="D12" s="13" t="str">
        <x:v>可选消费--家电Ⅱ--家电Ⅲ--消费电子产品</x:v>
      </x:c>
      <x:c r="E12" s="13" t="str">
        <x:v>家电Ⅱ</x:v>
      </x:c>
      <x:c r="F12" s="13" t="n">
        <x:v>611002980.02</x:v>
      </x:c>
      <x:c r="G12" s="13" t="n">
        <x:v>3940313461.54</x:v>
      </x:c>
      <x:c r="H12" s="13" t="n">
        <x:v>90530293646.97</x:v>
      </x:c>
      <x:c r="I12" s="13" t="n">
        <x:v>70707836.97</x:v>
      </x:c>
      <x:c r="J12" s="13" t="n">
        <x:v>2665044826.06</x:v>
      </x:c>
      <x:c r="K12" s="13" t="n">
        <x:v>82706773086.83</x:v>
      </x:c>
      <x:c r="L12" s="13" t="n">
        <x:v>73744409441.15</x:v>
      </x:c>
      <x:c r="M12" s="13" t="n">
        <x:v>49439525376.46</x:v>
      </x:c>
      <x:c r="N12" s="13" t="n">
        <x:v>100675116172.32</x:v>
      </x:c>
      <x:c r="O12" s="13" t="n">
        <x:v>44956954765.76</x:v>
      </x:c>
      <x:c r="P12" s="13" t="n">
        <x:v>23200813694</x:v>
      </x:c>
      <x:c r="Q12" s="13" t="n">
        <x:v>48658696377.72</x:v>
      </x:c>
      <x:c r="R12" s="13" t="n">
        <x:v>3634412755.75</x:v>
      </x:c>
      <x:c r="S12" s="13" t="n">
        <x:v>0.050273960883284174</x:v>
      </x:c>
      <x:c r="T12" s="13" t="n">
        <x:v>25.138567335100472</x:v>
      </x:c>
      <x:c r="U12" s="13" t="n">
        <x:v>0.192983304110283</x:v>
      </x:c>
      <x:c r="V12" s="13" t="n">
        <x:v>0.03724255566532197</x:v>
      </x:c>
      <x:c r="W12" s="13" t="n">
        <x:v>0.6526875314442925</x:v>
      </x:c>
      <x:c r="X12" s="13" t="n">
        <x:v>1.2869844068364917</x:v>
      </x:c>
      <x:c r="Y12" s="13" t="n">
        <x:v>0.05419834970461191</x:v>
      </x:c>
      <x:c r="Z12" s="13" t="n">
        <x:v>0.2805189082838783</x:v>
      </x:c>
      <x:c r="AA12" s="13" t="n">
        <x:v>0.5883278304986642</x:v>
      </x:c>
      <x:c r="AB12" s="13" t="n">
        <x:v>1.0997080570526987</x:v>
      </x:c>
      <x:c r="AC12" s="13" t="n">
        <x:v>0.04394335095064583</x:v>
      </x:c>
    </x:row>
    <x:row r="13">
      <x:c r="A13" s="13" t="str">
        <x:v>002311.SZ</x:v>
      </x:c>
      <x:c r="B13" s="13" t="str">
        <x:v>海大集团</x:v>
      </x:c>
      <x:c r="C13" s="13" t="str">
        <x:v>民营企业</x:v>
      </x:c>
      <x:c r="D13" s="13" t="str">
        <x:v>日常消费--食品饮料--食品--农产品</x:v>
      </x:c>
      <x:c r="E13" s="13" t="str">
        <x:v>食品饮料</x:v>
      </x:c>
      <x:c r="F13" s="13" t="n">
        <x:v>254979226.98</x:v>
      </x:c>
      <x:c r="G13" s="13" t="n">
        <x:v>4280330734.08</x:v>
      </x:c>
      <x:c r="H13" s="13" t="n">
        <x:v>47590711885.11</x:v>
      </x:c>
      <x:c r="I13" s="13" t="n">
        <x:v>369711343.72</x:v>
      </x:c>
      <x:c r="J13" s="13" t="n">
        <x:v>4503995518.39</x:v>
      </x:c>
      <x:c r="K13" s="13" t="n">
        <x:v>48140586659.7</x:v>
      </x:c>
      <x:c r="L13" s="13" t="n">
        <x:v>44746735775.61</x:v>
      </x:c>
      <x:c r="M13" s="13" t="n">
        <x:v>23489116125.37</x:v>
      </x:c>
      <x:c r="N13" s="13" t="n">
        <x:v>114452385662.5</x:v>
      </x:c>
      <x:c r="O13" s="13" t="n">
        <x:v>18534787077.24</x:v>
      </x:c>
      <x:c r="P13" s="13" t="n">
        <x:v>17353692406.54</x:v>
      </x:c>
      <x:c r="Q13" s="13" t="n">
        <x:v>23044152989.77</x:v>
      </x:c>
      <x:c r="R13" s="13" t="n">
        <x:v>3136747295.93</x:v>
      </x:c>
      <x:c r="S13" s="13" t="n">
        <x:v>0.09529821642527246</x:v>
      </x:c>
      <x:c r="T13" s="13" t="n">
        <x:v>24.59739145576011</x:v>
      </x:c>
      <x:c r="U13" s="13" t="n">
        <x:v>0.227665509028346</x:v>
      </x:c>
      <x:c r="V13" s="13" t="n">
        <x:v>0.0518315840011359</x:v>
      </x:c>
      <x:c r="W13" s="13" t="n">
        <x:v>0.21624588016252744</x:v>
      </x:c>
      <x:c r="X13" s="13" t="n">
        <x:v>2.4643273734628033</x:v>
      </x:c>
      <x:c r="Y13" s="13" t="n">
        <x:v>0.10291376553326098</x:v>
      </x:c>
      <x:c r="Z13" s="13" t="n">
        <x:v>0.3604794542536667</x:v>
      </x:c>
      <x:c r="AA13" s="13" t="n">
        <x:v>0.4786845069559775</x:v>
      </x:c>
      <x:c r="AB13" s="13" t="n">
        <x:v>1.267298945894756</x:v>
      </x:c>
      <x:c r="AC13" s="13" t="n">
        <x:v>0.06515806128627571</x:v>
      </x:c>
    </x:row>
    <x:row r="14">
      <x:c r="A14" s="13" t="str">
        <x:v>002352.SZ</x:v>
      </x:c>
      <x:c r="B14" s="13" t="str">
        <x:v>顺丰控股</x:v>
      </x:c>
      <x:c r="C14" s="13" t="str">
        <x:v>民营企业</x:v>
      </x:c>
      <x:c r="D14" s="13" t="str">
        <x:v>工业--交通运输--航空运输--航空货运与物流</x:v>
      </x:c>
      <x:c r="E14" s="13" t="str">
        <x:v>交通运输</x:v>
      </x:c>
      <x:c r="F14" s="13" t="n">
        <x:v>1752364000</x:v>
      </x:c>
      <x:c r="G14" s="13" t="n">
        <x:v>11117216000</x:v>
      </x:c>
      <x:c r="H14" s="13" t="n">
        <x:v>216469037000</x:v>
      </x:c>
      <x:c r="I14" s="13" t="n">
        <x:v>2373319000</x:v>
      </x:c>
      <x:c r="J14" s="13" t="n">
        <x:v>10170427000</x:v>
      </x:c>
      <x:c r="K14" s="13" t="n">
        <x:v>213824213000</x:v>
      </x:c>
      <x:c r="L14" s="13" t="n">
        <x:v>221490655000</x:v>
      </x:c>
      <x:c r="M14" s="13" t="n">
        <x:v>88686806000</x:v>
      </x:c>
      <x:c r="N14" s="13" t="n">
        <x:v>284420059000</x:v>
      </x:c>
      <x:c r="O14" s="13" t="n">
        <x:v>72193368000</x:v>
      </x:c>
      <x:c r="P14" s="13" t="n">
        <x:v>59174305000</x:v>
      </x:c>
      <x:c r="Q14" s="13" t="n">
        <x:v>111488992000</x:v>
      </x:c>
      <x:c r="R14" s="13" t="n">
        <x:v>9344770000</x:v>
      </x:c>
      <x:c r="S14" s="13" t="n">
        <x:v>0.05945229016748479</x:v>
      </x:c>
      <x:c r="T14" s="13" t="n">
        <x:v>26.08842007982657</x:v>
      </x:c>
      <x:c r="U14" s="13" t="n">
        <x:v>0.7622022392942179</x:v>
      </x:c>
      <x:c r="V14" s="13" t="n">
        <x:v>0.5809522535851203</x:v>
      </x:c>
      <x:c r="W14" s="13" t="n">
        <x:v>0.6177817572282329</x:v>
      </x:c>
      <x:c r="X14" s="13" t="n">
        <x:v>1.30673257408704</x:v>
      </x:c>
      <x:c r="Y14" s="13" t="n">
        <x:v>0.07713550195552456</x:v>
      </x:c>
      <x:c r="Z14" s="13" t="n">
        <x:v>0.27674277000612646</x:v>
      </x:c>
      <x:c r="AA14" s="13" t="n">
        <x:v>0.5214048981440657</x:v>
      </x:c>
      <x:c r="AB14" s="13" t="n">
        <x:v>1.2284619551203098</x:v>
      </x:c>
      <x:c r="AC14" s="13" t="n">
        <x:v>0.04370304872816251</x:v>
      </x:c>
    </x:row>
    <x:row r="15">
      <x:c r="A15" s="13" t="str">
        <x:v>002384.SZ</x:v>
      </x:c>
      <x:c r="B15" s="13" t="str">
        <x:v>东山精密</x:v>
      </x:c>
      <x:c r="C15" s="13" t="str">
        <x:v>民营企业</x:v>
      </x:c>
      <x:c r="D15" s="13" t="str">
        <x:v>信息技术--硬件设备--电子设备、仪器和元件--电子元件</x:v>
      </x:c>
      <x:c r="E15" s="13" t="str">
        <x:v>硬件设备</x:v>
      </x:c>
      <x:c r="F15" s="13" t="n">
        <x:v>424225000</x:v>
      </x:c>
      <x:c r="G15" s="13" t="n">
        <x:v>1386067000</x:v>
      </x:c>
      <x:c r="H15" s="13" t="n">
        <x:v>60250538000</x:v>
      </x:c>
      <x:c r="I15" s="13" t="n">
        <x:v>445902000</x:v>
      </x:c>
      <x:c r="J15" s="13" t="n">
        <x:v>1085641000</x:v>
      </x:c>
      <x:c r="K15" s="13" t="n">
        <x:v>45573749000</x:v>
      </x:c>
      <x:c r="L15" s="13" t="n">
        <x:v>43808753000</x:v>
      </x:c>
      <x:c r="M15" s="13" t="n">
        <x:v>22677792000</x:v>
      </x:c>
      <x:c r="N15" s="13" t="n">
        <x:v>36770374000</x:v>
      </x:c>
      <x:c r="O15" s="13" t="n">
        <x:v>19118077000</x:v>
      </x:c>
      <x:c r="P15" s="13" t="n">
        <x:v>17066248000</x:v>
      </x:c>
      <x:c r="Q15" s="13" t="n">
        <x:v>26687646000</x:v>
      </x:c>
      <x:c r="R15" s="13" t="n">
        <x:v>3792145000</x:v>
      </x:c>
      <x:c r="S15" s="13" t="n">
        <x:v>0.030046071953747533</x:v>
      </x:c>
      <x:c r="T15" s="13" t="n">
        <x:v>24.542597707874936</x:v>
      </x:c>
      <x:c r="U15" s="13" t="n">
        <x:v>0.07454890215057784</x:v>
      </x:c>
      <x:c r="V15" s="13" t="n">
        <x:v>0.005557538811856429</x:v>
      </x:c>
      <x:c r="W15" s="13" t="n">
        <x:v>0.12235054081259594</x:v>
      </x:c>
      <x:c r="X15" s="13" t="n">
        <x:v>0.8227644824710769</x:v>
      </x:c>
      <x:c r="Y15" s="13" t="n">
        <x:v>0.07810889115135118</x:v>
      </x:c>
      <x:c r="Z15" s="13" t="n">
        <x:v>0.3744754024954146</x:v>
      </x:c>
      <x:c r="AA15" s="13" t="n">
        <x:v>0.5855925085294168</x:v>
      </x:c>
      <x:c r="AB15" s="13" t="n">
        <x:v>1.1861962895117537</x:v>
      </x:c>
      <x:c r="AC15" s="13" t="n">
        <x:v>0.08320897629027622</x:v>
      </x:c>
    </x:row>
    <x:row r="16">
      <x:c r="A16" s="13" t="str">
        <x:v>002422.SZ</x:v>
      </x:c>
      <x:c r="B16" s="13" t="str">
        <x:v>科伦药业</x:v>
      </x:c>
      <x:c r="C16" s="13" t="str">
        <x:v>民营企业</x:v>
      </x:c>
      <x:c r="D16" s="13" t="str">
        <x:v>医疗保健--医药生物--制药--西药</x:v>
      </x:c>
      <x:c r="E16" s="13" t="str">
        <x:v>医药生物</x:v>
      </x:c>
      <x:c r="F16" s="13" t="n">
        <x:v>71499487</x:v>
      </x:c>
      <x:c r="G16" s="13" t="n">
        <x:v>1701935493</x:v>
      </x:c>
      <x:c r="H16" s="13" t="n">
        <x:v>39834823325</x:v>
      </x:c>
      <x:c r="I16" s="13" t="n">
        <x:v>66179387</x:v>
      </x:c>
      <x:c r="J16" s="13" t="n">
        <x:v>2935892103</x:v>
      </x:c>
      <x:c r="K16" s="13" t="n">
        <x:v>37316259482</x:v>
      </x:c>
      <x:c r="L16" s="13" t="n">
        <x:v>36454901140</x:v>
      </x:c>
      <x:c r="M16" s="13" t="n">
        <x:v>17935981250</x:v>
      </x:c>
      <x:c r="N16" s="13" t="n">
        <x:v>21536189806</x:v>
      </x:c>
      <x:c r="O16" s="13" t="n">
        <x:v>9137877768</x:v>
      </x:c>
      <x:c r="P16" s="13" t="n">
        <x:v>12380216105</x:v>
      </x:c>
      <x:c r="Q16" s="13" t="n">
        <x:v>10578077409</x:v>
      </x:c>
      <x:c r="R16" s="13" t="n">
        <x:v>1678259615</x:v>
      </x:c>
      <x:c r="S16" s="13" t="n">
        <x:v>0.044519714962235245</x:v>
      </x:c>
      <x:c r="T16" s="13" t="n">
        <x:v>24.342694979660138</x:v>
      </x:c>
      <x:c r="U16" s="13" t="n">
        <x:v>0.10409331530679801</x:v>
      </x:c>
      <x:c r="V16" s="13" t="n">
        <x:v>0.010835418291560468</x:v>
      </x:c>
      <x:c r="W16" s="13" t="n">
        <x:v>0.13623235092080122</x:v>
      </x:c>
      <x:c r="X16" s="13" t="n">
        <x:v>0.5838647413004775</x:v>
      </x:c>
      <x:c r="Y16" s="13" t="n">
        <x:v>0.2357713126698533</x:v>
      </x:c>
      <x:c r="Z16" s="13" t="n">
        <x:v>0.3317646590750009</x:v>
      </x:c>
      <x:c r="AA16" s="13" t="n">
        <x:v>0.2834710004656945</x:v>
      </x:c>
      <x:c r="AB16" s="13" t="n">
        <x:v>1.9628169368614388</x:v>
      </x:c>
      <x:c r="AC16" s="13" t="n">
        <x:v>0.044973950720048214</x:v>
      </x:c>
    </x:row>
    <x:row r="17">
      <x:c r="A17" s="13" t="str">
        <x:v>002459.SZ</x:v>
      </x:c>
      <x:c r="B17" s="13" t="str">
        <x:v>晶澳科技</x:v>
      </x:c>
      <x:c r="C17" s="13" t="str">
        <x:v>民营企业</x:v>
      </x:c>
      <x:c r="D17" s="13" t="str">
        <x:v>工业--电气设备--电气设备Ⅲ--光伏设备</x:v>
      </x:c>
      <x:c r="E17" s="13" t="str">
        <x:v>电气设备</x:v>
      </x:c>
      <x:c r="F17" s="13" t="n">
        <x:v>401282955.79</x:v>
      </x:c>
      <x:c r="G17" s="13" t="n">
        <x:v>-4608260132.26</x:v>
      </x:c>
      <x:c r="H17" s="13" t="n">
        <x:v>105009906906.66</x:v>
      </x:c>
      <x:c r="I17" s="13" t="n">
        <x:v>1061947000</x:v>
      </x:c>
      <x:c r="J17" s="13" t="n">
        <x:v>-4655944000</x:v>
      </x:c>
      <x:c r="K17" s="13" t="n">
        <x:v>112958014000</x:v>
      </x:c>
      <x:c r="L17" s="13" t="n">
        <x:v>106589468000</x:v>
      </x:c>
      <x:c r="M17" s="13" t="n">
        <x:v>54938617000</x:v>
      </x:c>
      <x:c r="N17" s="13" t="n">
        <x:v>70120697000</x:v>
      </x:c>
      <x:c r="O17" s="13" t="n">
        <x:v>49975653000</x:v>
      </x:c>
      <x:c r="P17" s="13" t="n">
        <x:v>44994537000</x:v>
      </x:c>
      <x:c r="Q17" s="13" t="n">
        <x:v>84428878000</x:v>
      </x:c>
      <x:c r="R17" s="13" t="n">
        <x:v>11828862000</x:v>
      </x:c>
      <x:c r="S17" s="13" t="n">
        <x:v>-0.040062669327089774</x:v>
      </x:c>
      <x:c r="T17" s="13" t="n">
        <x:v>25.45028202909203</x:v>
      </x:c>
      <x:c r="U17" s="13" t="n">
        <x:v>0.062334695752738596</x:v>
      </x:c>
      <x:c r="V17" s="13" t="n">
        <x:v>0.003885614294586487</x:v>
      </x:c>
      <x:c r="W17" s="13" t="n">
        <x:v>0.14616578354193543</x:v>
      </x:c>
      <x:c r="X17" s="13" t="n">
        <x:v>0.6387747776583472</x:v>
      </x:c>
      <x:c r="Y17" s="13" t="n">
        <x:v>0.043936360283388126</x:v>
      </x:c>
      <x:c r="Z17" s="13" t="n">
        <x:v>0.3983297457761607</x:v>
      </x:c>
      <x:c r="AA17" s="13" t="n">
        <x:v>0.7474359278306717</x:v>
      </x:c>
      <x:c r="AB17" s="13" t="n">
        <x:v>1.0993076368606929</x:v>
      </x:c>
      <x:c r="AC17" s="13" t="n">
        <x:v>0.10471910386101511</x:v>
      </x:c>
    </x:row>
    <x:row r="18">
      <x:c r="A18" s="13" t="str">
        <x:v>002460.SZ</x:v>
      </x:c>
      <x:c r="B18" s="13" t="str">
        <x:v>赣锋锂业</x:v>
      </x:c>
      <x:c r="C18" s="13" t="str">
        <x:v>民营企业</x:v>
      </x:c>
      <x:c r="D18" s="13" t="str">
        <x:v>材料--有色金属--其他金属与采矿--金属非金属</x:v>
      </x:c>
      <x:c r="E18" s="13" t="str">
        <x:v>有色金属</x:v>
      </x:c>
      <x:c r="F18" s="13" t="n">
        <x:v>1474383000</x:v>
      </x:c>
      <x:c r="G18" s="13" t="n">
        <x:v>1613671000</x:v>
      </x:c>
      <x:c r="H18" s="13" t="n">
        <x:v>113258092000</x:v>
      </x:c>
      <x:c r="I18" s="13" t="n">
        <x:v>1090748000</x:v>
      </x:c>
      <x:c r="J18" s="13" t="n">
        <x:v>-2068512000</x:v>
      </x:c>
      <x:c r="K18" s="13" t="n">
        <x:v>100832297000</x:v>
      </x:c>
      <x:c r="L18" s="13" t="n">
        <x:v>91697901000</x:v>
      </x:c>
      <x:c r="M18" s="13" t="n">
        <x:v>22002876000</x:v>
      </x:c>
      <x:c r="N18" s="13" t="n">
        <x:v>18726175000</x:v>
      </x:c>
      <x:c r="O18" s="13" t="n">
        <x:v>31669917000</x:v>
      </x:c>
      <x:c r="P18" s="13" t="n">
        <x:v>35872704000</x:v>
      </x:c>
      <x:c r="Q18" s="13" t="n">
        <x:v>53244400000</x:v>
      </x:c>
      <x:c r="R18" s="13" t="n">
        <x:v>9221133000</x:v>
      </x:c>
      <x:c r="S18" s="13" t="n">
        <x:v>0.027265636789996425</x:v>
      </x:c>
      <x:c r="T18" s="13" t="n">
        <x:v>25.33672454801043</x:v>
      </x:c>
      <x:c r="U18" s="13" t="n">
        <x:v>0.06133950469432216</x:v>
      </x:c>
      <x:c r="V18" s="13" t="n">
        <x:v>0.0037625348361447703</x:v>
      </x:c>
      <x:c r="W18" s="13" t="n">
        <x:v>0.5317816081836909</x:v>
      </x:c>
      <x:c r="X18" s="13" t="n">
        <x:v>0.1945271463336884</x:v>
      </x:c>
      <x:c r="Y18" s="13" t="n">
        <x:v>-0.09587246633883587</x:v>
      </x:c>
      <x:c r="Z18" s="13" t="n">
        <x:v>0.3557660101703326</x:v>
      </x:c>
      <x:c r="AA18" s="13" t="n">
        <x:v>0.5280490634860773</x:v>
      </x:c>
      <x:c r="AB18" s="13" t="n">
        <x:v>0.6947563519032904</x:v>
      </x:c>
      <x:c r="AC18" s="13" t="n">
        <x:v>0.09145019278892358</x:v>
      </x:c>
    </x:row>
    <x:row r="19">
      <x:c r="A19" s="13" t="str">
        <x:v>002466.SZ</x:v>
      </x:c>
      <x:c r="B19" s="13" t="str">
        <x:v>天齐锂业</x:v>
      </x:c>
      <x:c r="C19" s="13" t="str">
        <x:v>民营企业</x:v>
      </x:c>
      <x:c r="D19" s="13" t="str">
        <x:v>材料--有色金属--其他金属与采矿--金属非金属</x:v>
      </x:c>
      <x:c r="E19" s="13" t="str">
        <x:v>有色金属</x:v>
      </x:c>
      <x:c r="F19" s="13" t="n">
        <x:v>589765000</x:v>
      </x:c>
      <x:c r="G19" s="13" t="n">
        <x:v>458430000</x:v>
      </x:c>
      <x:c r="H19" s="13" t="n">
        <x:v>72967793000</x:v>
      </x:c>
      <x:c r="I19" s="13" t="n">
        <x:v>600534000</x:v>
      </x:c>
      <x:c r="J19" s="13" t="n">
        <x:v>-8727021000</x:v>
      </x:c>
      <x:c r="K19" s="13" t="n">
        <x:v>69556579000</x:v>
      </x:c>
      <x:c r="L19" s="13" t="n">
        <x:v>74969069000</x:v>
      </x:c>
      <x:c r="M19" s="13" t="n">
        <x:v>12830213000</x:v>
      </x:c>
      <x:c r="N19" s="13" t="n">
        <x:v>13029739000</x:v>
      </x:c>
      <x:c r="O19" s="13" t="n">
        <x:v>5041272000</x:v>
      </x:c>
      <x:c r="P19" s="13" t="n">
        <x:v>21601133000</x:v>
      </x:c>
      <x:c r="Q19" s="13" t="n">
        <x:v>19495531000</x:v>
      </x:c>
      <x:c r="R19" s="13" t="n">
        <x:v>4524444000</x:v>
      </x:c>
      <x:c r="S19" s="13" t="n">
        <x:v>0.014365173412878199</x:v>
      </x:c>
      <x:c r="T19" s="13" t="n">
        <x:v>24.96540634465955</x:v>
      </x:c>
      <x:c r="U19" s="13" t="n">
        <x:v>0.04268024498095807</x:v>
      </x:c>
      <x:c r="V19" s="13" t="n">
        <x:v>0.0018216033116345966</x:v>
      </x:c>
      <x:c r="W19" s="13" t="n">
        <x:v>0.5317816081836909</x:v>
      </x:c>
      <x:c r="X19" s="13" t="n">
        <x:v>0.18031040414362992</x:v>
      </x:c>
      <x:c r="Y19" s="13" t="n">
        <x:v>0.11197993219304245</x:v>
      </x:c>
      <x:c r="Z19" s="13" t="n">
        <x:v>0.31055485060586435</x:v>
      </x:c>
      <x:c r="AA19" s="13" t="n">
        <x:v>0.28028306279985393</x:v>
      </x:c>
      <x:c r="AB19" s="13" t="n">
        <x:v>2.5450348642168086</x:v>
      </x:c>
      <x:c r="AC19" s="13" t="n">
        <x:v>0.06504695982819972</x:v>
      </x:c>
    </x:row>
    <x:row r="20">
      <x:c r="A20" s="13" t="str">
        <x:v>002493.SZ</x:v>
      </x:c>
      <x:c r="B20" s="13" t="str">
        <x:v>荣盛石化</x:v>
      </x:c>
      <x:c r="C20" s="13" t="str">
        <x:v>民营企业</x:v>
      </x:c>
      <x:c r="D20" s="13" t="str">
        <x:v>材料--化工--基础化工--商品化工</x:v>
      </x:c>
      <x:c r="E20" s="13" t="str">
        <x:v>化工</x:v>
      </x:c>
      <x:c r="F20" s="13" t="n">
        <x:v>5617068173.04</x:v>
      </x:c>
      <x:c r="G20" s="13" t="n">
        <x:v>848314274.77</x:v>
      </x:c>
      <x:c r="H20" s="13" t="n">
        <x:v>386633124294.1</x:v>
      </x:c>
      <x:c r="I20" s="13" t="n">
        <x:v>7131339847.35</x:v>
      </x:c>
      <x:c r="J20" s="13" t="n">
        <x:v>724484686.45</x:v>
      </x:c>
      <x:c r="K20" s="13" t="n">
        <x:v>377845944183.98</x:v>
      </x:c>
      <x:c r="L20" s="13" t="n">
        <x:v>374918440311.68</x:v>
      </x:c>
      <x:c r="M20" s="13" t="n">
        <x:v>78302919654.82</x:v>
      </x:c>
      <x:c r="N20" s="13" t="n">
        <x:v>301577722845.41</x:v>
      </x:c>
      <x:c r="O20" s="13" t="n">
        <x:v>161555861255.49</x:v>
      </x:c>
      <x:c r="P20" s="13" t="n">
        <x:v>276533245111.98</x:v>
      </x:c>
      <x:c r="Q20" s="13" t="n">
        <x:v>283021813884.31</x:v>
      </x:c>
      <x:c r="R20" s="13" t="n">
        <x:v>31582215734.4</x:v>
      </x:c>
      <x:c r="S20" s="13" t="n">
        <x:v>0.01672226729050763</x:v>
      </x:c>
      <x:c r="T20" s="13" t="n">
        <x:v>26.657752394424023</x:v>
      </x:c>
      <x:c r="U20" s="13" t="n">
        <x:v>0.5250106557736014</x:v>
      </x:c>
      <x:c r="V20" s="13" t="n">
        <x:v>0.27563618867582695</x:v>
      </x:c>
      <x:c r="W20" s="13" t="n">
        <x:v>0.3404756158039197</x:v>
      </x:c>
      <x:c r="X20" s="13" t="n">
        <x:v>0.8012539622141189</x:v>
      </x:c>
      <x:c r="Y20" s="13" t="n">
        <x:v>-0.22033567617211905</x:v>
      </x:c>
      <x:c r="Z20" s="13" t="n">
        <x:v>0.7318677079072495</x:v>
      </x:c>
      <x:c r="AA20" s="13" t="n">
        <x:v>0.7490402325094208</x:v>
      </x:c>
      <x:c r="AB20" s="13" t="n">
        <x:v>0.4846801536404122</x:v>
      </x:c>
      <x:c r="AC20" s="13" t="n">
        <x:v>0.08358490072615958</x:v>
      </x:c>
    </x:row>
    <x:row r="21">
      <x:c r="A21" s="13" t="str">
        <x:v>002594.SZ</x:v>
      </x:c>
      <x:c r="B21" s="13" t="str">
        <x:v>比亚迪</x:v>
      </x:c>
      <x:c r="C21" s="13" t="str">
        <x:v>民营企业</x:v>
      </x:c>
      <x:c r="D21" s="13" t="str">
        <x:v>可选消费--汽车与零配件--汽车--汽车制造</x:v>
      </x:c>
      <x:c r="E21" s="13" t="str">
        <x:v>汽车与零配件</x:v>
      </x:c>
      <x:c r="F21" s="13" t="n">
        <x:v>2551657000</x:v>
      </x:c>
      <x:c r="G21" s="13" t="n">
        <x:v>32619022000</x:v>
      </x:c>
      <x:c r="H21" s="13" t="n">
        <x:v>883729883000</x:v>
      </x:c>
      <x:c r="I21" s="13" t="n">
        <x:v>2093781000</x:v>
      </x:c>
      <x:c r="J21" s="13" t="n">
        <x:v>40254346000</x:v>
      </x:c>
      <x:c r="K21" s="13" t="n">
        <x:v>783355855000</x:v>
      </x:c>
      <x:c r="L21" s="13" t="n">
        <x:v>679547670000</x:v>
      </x:c>
      <x:c r="M21" s="13" t="n">
        <x:v>370572244000</x:v>
      </x:c>
      <x:c r="N21" s="13" t="n">
        <x:v>777102455000</x:v>
      </x:c>
      <x:c r="O21" s="13" t="n">
        <x:v>495985176000</x:v>
      </x:c>
      <x:c r="P21" s="13" t="n">
        <x:v>280845347000</x:v>
      </x:c>
      <x:c r="Q21" s="13" t="n">
        <x:v>584667646000</x:v>
      </x:c>
      <x:c r="R21" s="13" t="n">
        <x:v>97359768000</x:v>
      </x:c>
      <x:c r="S21" s="13" t="n">
        <x:v>0.03979799673697353</x:v>
      </x:c>
      <x:c r="T21" s="13" t="n">
        <x:v>27.38685290606703</x:v>
      </x:c>
      <x:c r="U21" s="13" t="n">
        <x:v>0.6514550263395998</x:v>
      </x:c>
      <x:c r="V21" s="13" t="n">
        <x:v>0.42439365134312873</x:v>
      </x:c>
      <x:c r="W21" s="13" t="n">
        <x:v>0.4695797494099714</x:v>
      </x:c>
      <x:c r="X21" s="13" t="n">
        <x:v>1.0624110773128392</x:v>
      </x:c>
      <x:c r="Y21" s="13" t="n">
        <x:v>-0.16009701235972762</x:v>
      </x:c>
      <x:c r="Z21" s="13" t="n">
        <x:v>0.35851566718678574</x:v>
      </x:c>
      <x:c r="AA21" s="13" t="n">
        <x:v>0.7463627702125236</x:v>
      </x:c>
      <x:c r="AB21" s="13" t="n">
        <x:v>0.7471437896361645</x:v>
      </x:c>
      <x:c r="AC21" s="13" t="n">
        <x:v>0.12428549219179577</x:v>
      </x:c>
    </x:row>
    <x:row r="22">
      <x:c r="A22" s="13" t="str">
        <x:v>002600.SZ</x:v>
      </x:c>
      <x:c r="B22" s="13" t="str">
        <x:v>领益智造</x:v>
      </x:c>
      <x:c r="C22" s="13" t="str">
        <x:v>民营企业</x:v>
      </x:c>
      <x:c r="D22" s="13" t="str">
        <x:v>信息技术--硬件设备--电子设备、仪器和元件--电子元件</x:v>
      </x:c>
      <x:c r="E22" s="13" t="str">
        <x:v>硬件设备</x:v>
      </x:c>
      <x:c r="F22" s="13" t="n">
        <x:v>380264000</x:v>
      </x:c>
      <x:c r="G22" s="13" t="n">
        <x:v>2287724000</x:v>
      </x:c>
      <x:c r="H22" s="13" t="n">
        <x:v>57900450000</x:v>
      </x:c>
      <x:c r="I22" s="13" t="n">
        <x:v>304163000</x:v>
      </x:c>
      <x:c r="J22" s="13" t="n">
        <x:v>1755226000</x:v>
      </x:c>
      <x:c r="K22" s="13" t="n">
        <x:v>45193486000</x:v>
      </x:c>
      <x:c r="L22" s="13" t="n">
        <x:v>37367171000</x:v>
      </x:c>
      <x:c r="M22" s="13" t="n">
        <x:v>25545831000</x:v>
      </x:c>
      <x:c r="N22" s="13" t="n">
        <x:v>44259533000</x:v>
      </x:c>
      <x:c r="O22" s="13" t="n">
        <x:v>15798184000</x:v>
      </x:c>
      <x:c r="P22" s="13" t="n">
        <x:v>13654814000</x:v>
      </x:c>
      <x:c r="Q22" s="13" t="n">
        <x:v>25344505000</x:v>
      </x:c>
      <x:c r="R22" s="13" t="n">
        <x:v>3623127000</x:v>
      </x:c>
      <x:c r="S22" s="13" t="n">
        <x:v>0.04607888194305917</x:v>
      </x:c>
      <x:c r="T22" s="13" t="n">
        <x:v>24.53421879835478</x:v>
      </x:c>
      <x:c r="U22" s="13" t="n">
        <x:v>0.08973255466064259</x:v>
      </x:c>
      <x:c r="V22" s="13" t="n">
        <x:v>0.00805193136592521</x:v>
      </x:c>
      <x:c r="W22" s="13" t="n">
        <x:v>0.12235054081259594</x:v>
      </x:c>
      <x:c r="X22" s="13" t="n">
        <x:v>1.0721700773287208</x:v>
      </x:c>
      <x:c r="Y22" s="13" t="n">
        <x:v>0.2156869908198717</x:v>
      </x:c>
      <x:c r="Z22" s="13" t="n">
        <x:v>0.3021411979593696</x:v>
      </x:c>
      <x:c r="AA22" s="13" t="n">
        <x:v>0.5607999568787413</x:v>
      </x:c>
      <x:c r="AB22" s="13" t="n">
        <x:v>1.617010600712082</x:v>
      </x:c>
      <x:c r="AC22" s="13" t="n">
        <x:v>0.08016923058336327</x:v>
      </x:c>
    </x:row>
    <x:row r="23">
      <x:c r="A23" s="13" t="str">
        <x:v>002601.SZ</x:v>
      </x:c>
      <x:c r="B23" s="13" t="str">
        <x:v>龙佰集团</x:v>
      </x:c>
      <x:c r="C23" s="13" t="str">
        <x:v>民营企业</x:v>
      </x:c>
      <x:c r="D23" s="13" t="str">
        <x:v>材料--化工--基础化工--商品化工</x:v>
      </x:c>
      <x:c r="E23" s="13" t="str">
        <x:v>化工</x:v>
      </x:c>
      <x:c r="F23" s="13" t="n">
        <x:v>401725045.68</x:v>
      </x:c>
      <x:c r="G23" s="13" t="n">
        <x:v>1244565890.88</x:v>
      </x:c>
      <x:c r="H23" s="13" t="n">
        <x:v>64424518688.7</x:v>
      </x:c>
      <x:c r="I23" s="13" t="n">
        <x:v>700629038.56</x:v>
      </x:c>
      <x:c r="J23" s="13" t="n">
        <x:v>2168585326.01</x:v>
      </x:c>
      <x:c r="K23" s="13" t="n">
        <x:v>66200879676.09</x:v>
      </x:c>
      <x:c r="L23" s="13" t="n">
        <x:v>63817240694.66</x:v>
      </x:c>
      <x:c r="M23" s="13" t="n">
        <x:v>22837809591</x:v>
      </x:c>
      <x:c r="N23" s="13" t="n">
        <x:v>27166725366.75</x:v>
      </x:c>
      <x:c r="O23" s="13" t="n">
        <x:v>29894692058.86</x:v>
      </x:c>
      <x:c r="P23" s="13" t="n">
        <x:v>28671800045.12</x:v>
      </x:c>
      <x:c r="Q23" s="13" t="n">
        <x:v>40408571305.08</x:v>
      </x:c>
      <x:c r="R23" s="13" t="n">
        <x:v>1582633931.01</x:v>
      </x:c>
      <x:c r="S23" s="13" t="n">
        <x:v>0.025553794891583072</x:v>
      </x:c>
      <x:c r="T23" s="13" t="n">
        <x:v>24.915959587959545</x:v>
      </x:c>
      <x:c r="U23" s="13" t="n">
        <x:v>0.047294011525280774</x:v>
      </x:c>
      <x:c r="V23" s="13" t="n">
        <x:v>0.0022367235261533907</x:v>
      </x:c>
      <x:c r="W23" s="13" t="n">
        <x:v>0.3404756158039197</x:v>
      </x:c>
      <x:c r="X23" s="13" t="n">
        <x:v>0.4178913722069414</x:v>
      </x:c>
      <x:c r="Y23" s="13" t="n">
        <x:v>-0.10659801655790926</x:v>
      </x:c>
      <x:c r="Z23" s="13" t="n">
        <x:v>0.4331030068694917</x:v>
      </x:c>
      <x:c r="AA23" s="13" t="n">
        <x:v>0.6103932682283452</x:v>
      </x:c>
      <x:c r="AB23" s="13" t="n">
        <x:v>0.7639419581922562</x:v>
      </x:c>
      <x:c r="AC23" s="13" t="n">
        <x:v>0.023906539290014985</x:v>
      </x:c>
    </x:row>
    <x:row r="24">
      <x:c r="A24" s="13" t="str">
        <x:v>002625.SZ</x:v>
      </x:c>
      <x:c r="B24" s="13" t="str">
        <x:v>光启技术</x:v>
      </x:c>
      <x:c r="C24" s="13" t="str">
        <x:v>民营企业</x:v>
      </x:c>
      <x:c r="D24" s="13" t="str">
        <x:v>工业--国防军工--航空航天与国防Ⅲ--航空航天</x:v>
      </x:c>
      <x:c r="E24" s="13" t="str">
        <x:v>国防军工</x:v>
      </x:c>
      <x:c r="F24" s="13" t="n">
        <x:v>-109581295.47</x:v>
      </x:c>
      <x:c r="G24" s="13" t="n">
        <x:v>686946947.27</x:v>
      </x:c>
      <x:c r="H24" s="13" t="n">
        <x:v>11884396306.72</x:v>
      </x:c>
      <x:c r="I24" s="13" t="n">
        <x:v>-166242678.24</x:v>
      </x:c>
      <x:c r="J24" s="13" t="n">
        <x:v>651967766.93</x:v>
      </x:c>
      <x:c r="K24" s="13" t="n">
        <x:v>9919567934.64</x:v>
      </x:c>
      <x:c r="L24" s="13" t="n">
        <x:v>9778783862.03</x:v>
      </x:c>
      <x:c r="M24" s="13" t="n">
        <x:v>7296275475.11</x:v>
      </x:c>
      <x:c r="N24" s="13" t="n">
        <x:v>1540727178.6</x:v>
      </x:c>
      <x:c r="O24" s="13" t="n">
        <x:v>806597308.9</x:v>
      </x:c>
      <x:c r="P24" s="13" t="n">
        <x:v>1671217173.96</x:v>
      </x:c>
      <x:c r="Q24" s="13" t="n">
        <x:v>985317721.68</x:v>
      </x:c>
      <x:c r="R24" s="13" t="n">
        <x:v>630444850.85</x:v>
      </x:c>
      <x:c r="S24" s="13" t="n">
        <x:v>0.04858182417507653</x:v>
      </x:c>
      <x:c r="T24" s="13" t="n">
        <x:v>23.01777520231884</x:v>
      </x:c>
      <x:c r="U24" s="13" t="n">
        <x:v>1</x:v>
      </x:c>
      <x:c r="V24" s="13" t="n">
        <x:v>1</x:v>
      </x:c>
      <x:c r="W24" s="13" t="n">
        <x:v>1</x:v>
      </x:c>
      <x:c r="X24" s="13" t="n">
        <x:v>0.15643209081690373</x:v>
      </x:c>
      <x:c r="Y24" s="13" t="n">
        <x:v>0.6542299230138316</x:v>
      </x:c>
      <x:c r="Z24" s="13" t="n">
        <x:v>0.16847681118488672</x:v>
      </x:c>
      <x:c r="AA24" s="13" t="n">
        <x:v>0.09933070958052359</x:v>
      </x:c>
      <x:c r="AB24" s="13" t="n">
        <x:v>9.045747356956003</x:v>
      </x:c>
      <x:c r="AC24" s="13" t="n">
        <x:v>0.06355567651776761</x:v>
      </x:c>
    </x:row>
    <x:row r="25">
      <x:c r="A25" s="13" t="str">
        <x:v>002648.SZ</x:v>
      </x:c>
      <x:c r="B25" s="13" t="str">
        <x:v>卫星化学</x:v>
      </x:c>
      <x:c r="C25" s="13" t="str">
        <x:v>民营企业</x:v>
      </x:c>
      <x:c r="D25" s="13" t="str">
        <x:v>材料--化工--基础化工--商品化工</x:v>
      </x:c>
      <x:c r="E25" s="13" t="str">
        <x:v>化工</x:v>
      </x:c>
      <x:c r="F25" s="13" t="n">
        <x:v>873927568.44</x:v>
      </x:c>
      <x:c r="G25" s="13" t="n">
        <x:v>5310687058.76</x:v>
      </x:c>
      <x:c r="H25" s="13" t="n">
        <x:v>69564640490.94</x:v>
      </x:c>
      <x:c r="I25" s="13" t="n">
        <x:v>1024572403.49</x:v>
      </x:c>
      <x:c r="J25" s="13" t="n">
        <x:v>6071835708.47</x:v>
      </x:c>
      <x:c r="K25" s="13" t="n">
        <x:v>68305210214.96</x:v>
      </x:c>
      <x:c r="L25" s="13" t="n">
        <x:v>64581962271.67</x:v>
      </x:c>
      <x:c r="M25" s="13" t="n">
        <x:v>15498536547.38</x:v>
      </x:c>
      <x:c r="N25" s="13" t="n">
        <x:v>45364866882.29</x:v>
      </x:c>
      <x:c r="O25" s="13" t="n">
        <x:v>15372383364.45</x:v>
      </x:c>
      <x:c r="P25" s="13" t="n">
        <x:v>29775449466.93</x:v>
      </x:c>
      <x:c r="Q25" s="13" t="n">
        <x:v>38000485258.24</x:v>
      </x:c>
      <x:c r="R25" s="13" t="n">
        <x:v>3139954408.45</x:v>
      </x:c>
      <x:c r="S25" s="13" t="n">
        <x:v>0.08890457254652924</x:v>
      </x:c>
      <x:c r="T25" s="13" t="n">
        <x:v>24.947251884873687</x:v>
      </x:c>
      <x:c r="U25" s="13" t="n">
        <x:v>0.07897479391460861</x:v>
      </x:c>
      <x:c r="V25" s="13" t="n">
        <x:v>0.006237018073854902</x:v>
      </x:c>
      <x:c r="W25" s="13" t="n">
        <x:v>0.3404756158039197</x:v>
      </x:c>
      <x:c r="X25" s="13" t="n">
        <x:v>0.6827576512225698</x:v>
      </x:c>
      <x:c r="Y25" s="13" t="n">
        <x:v>0.0018469042483433968</x:v>
      </x:c>
      <x:c r="Z25" s="13" t="n">
        <x:v>0.43591769022048443</x:v>
      </x:c>
      <x:c r="AA25" s="13" t="n">
        <x:v>0.556333625775406</x:v>
      </x:c>
      <x:c r="AB25" s="13" t="n">
        <x:v>1.008206481710685</x:v>
      </x:c>
      <x:c r="AC25" s="13" t="n">
        <x:v>0.04596947141467543</x:v>
      </x:c>
    </x:row>
    <x:row r="26">
      <x:c r="A26" s="13" t="str">
        <x:v>002709.SZ</x:v>
      </x:c>
      <x:c r="B26" s="13" t="str">
        <x:v>天赐材料</x:v>
      </x:c>
      <x:c r="C26" s="13" t="str">
        <x:v>民营企业</x:v>
      </x:c>
      <x:c r="D26" s="13" t="str">
        <x:v>材料--化工--多元化工Ⅲ--特种化工</x:v>
      </x:c>
      <x:c r="E26" s="13" t="str">
        <x:v>化工</x:v>
      </x:c>
      <x:c r="F26" s="13" t="n">
        <x:v>202484000</x:v>
      </x:c>
      <x:c r="G26" s="13" t="n">
        <x:v>1361918000</x:v>
      </x:c>
      <x:c r="H26" s="13" t="n">
        <x:v>26926734000</x:v>
      </x:c>
      <x:c r="I26" s="13" t="n">
        <x:v>228158000</x:v>
      </x:c>
      <x:c r="J26" s="13" t="n">
        <x:v>483930000</x:v>
      </x:c>
      <x:c r="K26" s="13" t="n">
        <x:v>23953390000</x:v>
      </x:c>
      <x:c r="L26" s="13" t="n">
        <x:v>23976871000</x:v>
      </x:c>
      <x:c r="M26" s="13" t="n">
        <x:v>10801397000</x:v>
      </x:c>
      <x:c r="N26" s="13" t="n">
        <x:v>12518297000</x:v>
      </x:c>
      <x:c r="O26" s="13" t="n">
        <x:v>5875861000</x:v>
      </x:c>
      <x:c r="P26" s="13" t="n">
        <x:v>9929251000</x:v>
      </x:c>
      <x:c r="Q26" s="13" t="n">
        <x:v>10628819000</x:v>
      </x:c>
      <x:c r="R26" s="13" t="n">
        <x:v>771505000</x:v>
      </x:c>
      <x:c r="S26" s="13" t="n">
        <x:v>0.05809846823606606</x:v>
      </x:c>
      <x:c r="T26" s="13" t="n">
        <x:v>23.89937569567198</x:v>
      </x:c>
      <x:c r="U26" s="13" t="n">
        <x:v>0.021792854111136267</x:v>
      </x:c>
      <x:c r="V26" s="13" t="n">
        <x:v>0.0004749284903092689</x:v>
      </x:c>
      <x:c r="W26" s="13" t="n">
        <x:v>0.3404756158039197</x:v>
      </x:c>
      <x:c r="X26" s="13" t="n">
        <x:v>0.522354635206347</x:v>
      </x:c>
      <x:c r="Y26" s="13" t="n">
        <x:v>0.20563001729609046</x:v>
      </x:c>
      <x:c r="Z26" s="13" t="n">
        <x:v>0.41452383149107497</x:v>
      </x:c>
      <x:c r="AA26" s="13" t="n">
        <x:v>0.4437292174510581</x:v>
      </x:c>
      <x:c r="AB26" s="13" t="n">
        <x:v>1.8382662557878753</x:v>
      </x:c>
      <x:c r="AC26" s="13" t="n">
        <x:v>0.032208593439174996</x:v>
      </x:c>
    </x:row>
    <x:row r="27">
      <x:c r="A27" s="13" t="str">
        <x:v>002714.SZ</x:v>
      </x:c>
      <x:c r="B27" s="13" t="str">
        <x:v>牧原股份</x:v>
      </x:c>
      <x:c r="C27" s="13" t="str">
        <x:v>民营企业</x:v>
      </x:c>
      <x:c r="D27" s="13" t="str">
        <x:v>日常消费--食品饮料--食品--食品加工与肉类</x:v>
      </x:c>
      <x:c r="E27" s="13" t="str">
        <x:v>食品饮料</x:v>
      </x:c>
      <x:c r="F27" s="13" t="n">
        <x:v>2556832463.42</x:v>
      </x:c>
      <x:c r="G27" s="13" t="n">
        <x:v>15486891254.04</x:v>
      </x:c>
      <x:c r="H27" s="13" t="n">
        <x:v>171741086702.08</x:v>
      </x:c>
      <x:c r="I27" s="13" t="n">
        <x:v>3177468228.97</x:v>
      </x:c>
      <x:c r="J27" s="13" t="n">
        <x:v>17881260485.27</x:v>
      </x:c>
      <x:c r="K27" s="13" t="n">
        <x:v>187648723830.92</x:v>
      </x:c>
      <x:c r="L27" s="13" t="n">
        <x:v>195404553902.24</x:v>
      </x:c>
      <x:c r="M27" s="13" t="n">
        <x:v>61318601205.85</x:v>
      </x:c>
      <x:c r="N27" s="13" t="n">
        <x:v>137946892076.87</x:v>
      </x:c>
      <x:c r="O27" s="13" t="n">
        <x:v>85476512749.91</x:v>
      </x:c>
      <x:c r="P27" s="13" t="n">
        <x:v>108769563791.64</x:v>
      </x:c>
      <x:c r="Q27" s="13" t="n">
        <x:v>110112494714.77</x:v>
      </x:c>
      <x:c r="R27" s="13" t="n">
        <x:v>12380725812</x:v>
      </x:c>
      <x:c r="S27" s="13" t="n">
        <x:v>0.10506352360958636</x:v>
      </x:c>
      <x:c r="T27" s="13" t="n">
        <x:v>25.95783756170986</x:v>
      </x:c>
      <x:c r="U27" s="13" t="n">
        <x:v>0.2744001291171768</x:v>
      </x:c>
      <x:c r="V27" s="13" t="n">
        <x:v>0.07529543085952331</x:v>
      </x:c>
      <x:c r="W27" s="13" t="n">
        <x:v>0.21624588016252744</x:v>
      </x:c>
      <x:c r="X27" s="13" t="n">
        <x:v>0.7202491146569205</x:v>
      </x:c>
      <x:c r="Y27" s="13" t="n">
        <x:v>-0.12874007907363855</x:v>
      </x:c>
      <x:c r="Z27" s="13" t="n">
        <x:v>0.5796445697634816</x:v>
      </x:c>
      <x:c r="AA27" s="13" t="n">
        <x:v>0.5868011914324892</x:v>
      </x:c>
      <x:c r="AB27" s="13" t="n">
        <x:v>0.7173736881996811</x:v>
      </x:c>
      <x:c r="AC27" s="13" t="n">
        <x:v>0.0659782041638375</x:v>
      </x:c>
    </x:row>
    <x:row r="28">
      <x:c r="A28" s="13" t="str">
        <x:v>300014.SZ</x:v>
      </x:c>
      <x:c r="B28" s="13" t="str">
        <x:v>亿纬锂能</x:v>
      </x:c>
      <x:c r="C28" s="13" t="str">
        <x:v>民营企业</x:v>
      </x:c>
      <x:c r="D28" s="13" t="str">
        <x:v>工业--电气设备--电气设备Ⅲ--电气部件与设备</x:v>
      </x:c>
      <x:c r="E28" s="13" t="str">
        <x:v>电气设备</x:v>
      </x:c>
      <x:c r="F28" s="13" t="n">
        <x:v>685268055.12</x:v>
      </x:c>
      <x:c r="G28" s="13" t="n">
        <x:v>4134303670.89</x:v>
      </x:c>
      <x:c r="H28" s="13" t="n">
        <x:v>125542296569.58</x:v>
      </x:c>
      <x:c r="I28" s="13" t="n">
        <x:v>635072000</x:v>
      </x:c>
      <x:c r="J28" s="13" t="n">
        <x:v>4075586000</x:v>
      </x:c>
      <x:c r="K28" s="13" t="n">
        <x:v>100890625000</x:v>
      </x:c>
      <x:c r="L28" s="13" t="n">
        <x:v>94355339000</x:v>
      </x:c>
      <x:c r="M28" s="13" t="n">
        <x:v>37984679000</x:v>
      </x:c>
      <x:c r="N28" s="13" t="n">
        <x:v>48614557000</x:v>
      </x:c>
      <x:c r="O28" s="13" t="n">
        <x:v>39794292000</x:v>
      </x:c>
      <x:c r="P28" s="13" t="n">
        <x:v>39213760000</x:v>
      </x:c>
      <x:c r="Q28" s="13" t="n">
        <x:v>59891438000</x:v>
      </x:c>
      <x:c r="R28" s="13" t="n">
        <x:v>5545325000</x:v>
      </x:c>
      <x:c r="S28" s="13" t="n">
        <x:v>0.038390023583317376</x:v>
      </x:c>
      <x:c r="T28" s="13" t="n">
        <x:v>25.337302846213205</x:v>
      </x:c>
      <x:c r="U28" s="13" t="n">
        <x:v>0.04321653590735369</x:v>
      </x:c>
      <x:c r="V28" s="13" t="n">
        <x:v>0.001867668975831591</x:v>
      </x:c>
      <x:c r="W28" s="13" t="n">
        <x:v>0.14616578354193543</x:v>
      </x:c>
      <x:c r="X28" s="13" t="n">
        <x:v>0.49798270862080407</x:v>
      </x:c>
      <x:c r="Y28" s="13" t="n">
        <x:v>-0.01793638407929379</x:v>
      </x:c>
      <x:c r="Z28" s="13" t="n">
        <x:v>0.38867595477776057</x:v>
      </x:c>
      <x:c r="AA28" s="13" t="n">
        <x:v>0.5936273860926127</x:v>
      </x:c>
      <x:c r="AB28" s="13" t="n">
        <x:v>0.9545258149083291</x:v>
      </x:c>
      <x:c r="AC28" s="13" t="n">
        <x:v>0.054963729286046155</x:v>
      </x:c>
    </x:row>
    <x:row r="29">
      <x:c r="A29" s="13" t="str">
        <x:v>300015.SZ</x:v>
      </x:c>
      <x:c r="B29" s="13" t="str">
        <x:v>爱尔眼科</x:v>
      </x:c>
      <x:c r="C29" s="13" t="str">
        <x:v>民营企业</x:v>
      </x:c>
      <x:c r="D29" s="13" t="str">
        <x:v>医疗保健--医疗设备与服务--医疗保健提供商与服务--保健护理设施</x:v>
      </x:c>
      <x:c r="E29" s="13" t="str">
        <x:v>医疗设备与服务</x:v>
      </x:c>
      <x:c r="F29" s="13" t="n">
        <x:v>269717000</x:v>
      </x:c>
      <x:c r="G29" s="13" t="n">
        <x:v>3240259000</x:v>
      </x:c>
      <x:c r="H29" s="13" t="n">
        <x:v>36675990000</x:v>
      </x:c>
      <x:c r="I29" s="13" t="n">
        <x:v>255561000</x:v>
      </x:c>
      <x:c r="J29" s="13" t="n">
        <x:v>3556056000</x:v>
      </x:c>
      <x:c r="K29" s="13" t="n">
        <x:v>33255307000</x:v>
      </x:c>
      <x:c r="L29" s="13" t="n">
        <x:v>30186619000</x:v>
      </x:c>
      <x:c r="M29" s="13" t="n">
        <x:v>9666105000</x:v>
      </x:c>
      <x:c r="N29" s="13" t="n">
        <x:v>20982894000</x:v>
      </x:c>
      <x:c r="O29" s="13" t="n">
        <x:v>6664625000</x:v>
      </x:c>
      <x:c r="P29" s="13" t="n">
        <x:v>7604658000</x:v>
      </x:c>
      <x:c r="Q29" s="13" t="n">
        <x:v>11443294000</x:v>
      </x:c>
      <x:c r="R29" s="13" t="n">
        <x:v>1830098000</x:v>
      </x:c>
      <x:c r="S29" s="13" t="n">
        <x:v>0.09570228370113526</x:v>
      </x:c>
      <x:c r="T29" s="13" t="n">
        <x:v>24.227480200334664</x:v>
      </x:c>
      <x:c r="U29" s="13" t="n">
        <x:v>0.18385655838902595</x:v>
      </x:c>
      <x:c r="V29" s="13" t="n">
        <x:v>0.03380323406265731</x:v>
      </x:c>
      <x:c r="W29" s="13" t="n">
        <x:v>0.28019975017592524</x:v>
      </x:c>
      <x:c r="X29" s="13" t="n">
        <x:v>0.6614835117080147</x:v>
      </x:c>
      <x:c r="Y29" s="13" t="n">
        <x:v>0.09025566956876988</x:v>
      </x:c>
      <x:c r="Z29" s="13" t="n">
        <x:v>0.2286750202005352</x:v>
      </x:c>
      <x:c r="AA29" s="13" t="n">
        <x:v>0.3441042958947876</x:v>
      </x:c>
      <x:c r="AB29" s="13" t="n">
        <x:v>1.4503599227263348</x:v>
      </x:c>
      <x:c r="AC29" s="13" t="n">
        <x:v>0.055031757788313304</x:v>
      </x:c>
    </x:row>
    <x:row r="30">
      <x:c r="A30" s="13" t="str">
        <x:v>300033.SZ</x:v>
      </x:c>
      <x:c r="B30" s="13" t="str">
        <x:v>同花顺</x:v>
      </x:c>
      <x:c r="C30" s="13" t="str">
        <x:v>民营企业</x:v>
      </x:c>
      <x:c r="D30" s="13" t="str">
        <x:v>信息技术--软件服务--软件--应用软件</x:v>
      </x:c>
      <x:c r="E30" s="13" t="str">
        <x:v>软件服务</x:v>
      </x:c>
      <x:c r="F30" s="13" t="n">
        <x:v>-124843719.94</x:v>
      </x:c>
      <x:c r="G30" s="13" t="n">
        <x:v>3205082002.69</x:v>
      </x:c>
      <x:c r="H30" s="13" t="n">
        <x:v>15832994333.52</x:v>
      </x:c>
      <x:c r="I30" s="13" t="n">
        <x:v>-205924675.68</x:v>
      </x:c>
      <x:c r="J30" s="13" t="n">
        <x:v>1823266690.03</x:v>
      </x:c>
      <x:c r="K30" s="13" t="n">
        <x:v>10976501567.53</x:v>
      </x:c>
      <x:c r="L30" s="13" t="n">
        <x:v>9844860690.35</x:v>
      </x:c>
      <x:c r="M30" s="13" t="n">
        <x:v>9371557147.16</x:v>
      </x:c>
      <x:c r="N30" s="13" t="n">
        <x:v>4112650119.75</x:v>
      </x:c>
      <x:c r="O30" s="13" t="n">
        <x:v>2886162232.42</x:v>
      </x:c>
      <x:c r="P30" s="13" t="n">
        <x:v>1258021817.51</x:v>
      </x:c>
      <x:c r="Q30" s="13" t="n">
        <x:v>3002176417.23</x:v>
      </x:c>
      <x:c r="R30" s="13" t="n">
        <x:v>103677532.32</x:v>
      </x:c>
      <x:c r="S30" s="13" t="n">
        <x:v>0.19454553054622356</x:v>
      </x:c>
      <x:c r="T30" s="13" t="n">
        <x:v>23.119022603636058</x:v>
      </x:c>
      <x:c r="U30" s="13" t="n">
        <x:v>0.04796708242693711</x:v>
      </x:c>
      <x:c r="V30" s="13" t="n">
        <x:v>0.002300840996552579</x:v>
      </x:c>
      <x:c r="W30" s="13" t="n">
        <x:v>0.23288063539086398</x:v>
      </x:c>
      <x:c r="X30" s="13" t="n">
        <x:v>0.39504140687946937</x:v>
      </x:c>
      <x:c r="Y30" s="13" t="n">
        <x:v>0.5908435283173182</x:v>
      </x:c>
      <x:c r="Z30" s="13" t="n">
        <x:v>0.11461045304556794</x:v>
      </x:c>
      <x:c r="AA30" s="13" t="n">
        <x:v>0.2735094054111786</x:v>
      </x:c>
      <x:c r="AB30" s="13" t="n">
        <x:v>3.2470652695438056</x:v>
      </x:c>
      <x:c r="AC30" s="13" t="n">
        <x:v>0.009445407690433205</x:v>
      </x:c>
    </x:row>
    <x:row r="31">
      <x:c r="A31" s="13" t="str">
        <x:v>300122.SZ</x:v>
      </x:c>
      <x:c r="B31" s="13" t="str">
        <x:v>智飞生物</x:v>
      </x:c>
      <x:c r="C31" s="13" t="str">
        <x:v>民营企业</x:v>
      </x:c>
      <x:c r="D31" s="13" t="str">
        <x:v>医疗保健--医药生物--生物科技Ⅲ--生物科技Ⅳ</x:v>
      </x:c>
      <x:c r="E31" s="13" t="str">
        <x:v>医药生物</x:v>
      </x:c>
      <x:c r="F31" s="13" t="n">
        <x:v>301755089.99</x:v>
      </x:c>
      <x:c r="G31" s="13" t="n">
        <x:v>-14723152851.99</x:v>
      </x:c>
      <x:c r="H31" s="13" t="n">
        <x:v>31719717303.13</x:v>
      </x:c>
      <x:c r="I31" s="13" t="n">
        <x:v>109338094.53</x:v>
      </x:c>
      <x:c r="J31" s="13" t="n">
        <x:v>2018478513.91</x:v>
      </x:c>
      <x:c r="K31" s="13" t="n">
        <x:v>49909613835.4</x:v>
      </x:c>
      <x:c r="L31" s="13" t="n">
        <x:v>50232190314.35</x:v>
      </x:c>
      <x:c r="M31" s="13" t="n">
        <x:v>41292988542.93</x:v>
      </x:c>
      <x:c r="N31" s="13" t="n">
        <x:v>25934263400.41</x:v>
      </x:c>
      <x:c r="O31" s="13" t="n">
        <x:v>18441126104.37</x:v>
      </x:c>
      <x:c r="P31" s="13" t="n">
        <x:v>5343724415.02</x:v>
      </x:c>
      <x:c r="Q31" s="13" t="n">
        <x:v>19078874427.3</x:v>
      </x:c>
      <x:c r="R31" s="13" t="n">
        <x:v>930343067.65</x:v>
      </x:c>
      <x:c r="S31" s="13" t="n">
        <x:v>-0.4546508918784387</x:v>
      </x:c>
      <x:c r="T31" s="13" t="n">
        <x:v>24.633479483179002</x:v>
      </x:c>
      <x:c r="U31" s="13" t="n">
        <x:v>0.1253510245640723</x:v>
      </x:c>
      <x:c r="V31" s="13" t="n">
        <x:v>0.015712879359262657</x:v>
      </x:c>
      <x:c r="W31" s="13" t="n">
        <x:v>0.13623235092080122</x:v>
      </x:c>
      <x:c r="X31" s="13" t="n">
        <x:v>0.5179507922910682</x:v>
      </x:c>
      <x:c r="Y31" s="13" t="n">
        <x:v>0.45786494189124705</x:v>
      </x:c>
      <x:c r="Z31" s="13" t="n">
        <x:v>0.10706803768595363</x:v>
      </x:c>
      <x:c r="AA31" s="13" t="n">
        <x:v>0.38226852426110525</x:v>
      </x:c>
      <x:c r="AB31" s="13" t="n">
        <x:v>2.239179338031032</x:v>
      </x:c>
      <x:c r="AC31" s="13" t="n">
        <x:v>0.018640558324459006</x:v>
      </x:c>
    </x:row>
    <x:row r="32">
      <x:c r="A32" s="13" t="str">
        <x:v>300124.SZ</x:v>
      </x:c>
      <x:c r="B32" s="13" t="str">
        <x:v>汇川技术</x:v>
      </x:c>
      <x:c r="C32" s="13" t="str">
        <x:v>民营企业</x:v>
      </x:c>
      <x:c r="D32" s="13" t="str">
        <x:v>工业--电气设备--电气设备Ⅲ--电气部件与设备</x:v>
      </x:c>
      <x:c r="E32" s="13" t="str">
        <x:v>电气设备</x:v>
      </x:c>
      <x:c r="F32" s="13" t="n">
        <x:v>170396000</x:v>
      </x:c>
      <x:c r="G32" s="13" t="n">
        <x:v>5050002000</x:v>
      </x:c>
      <x:c r="H32" s="13" t="n">
        <x:v>71314394000</x:v>
      </x:c>
      <x:c r="I32" s="13" t="n">
        <x:v>161645000</x:v>
      </x:c>
      <x:c r="J32" s="13" t="n">
        <x:v>4285493000</x:v>
      </x:c>
      <x:c r="K32" s="13" t="n">
        <x:v>57178824000</x:v>
      </x:c>
      <x:c r="L32" s="13" t="n">
        <x:v>48957564000</x:v>
      </x:c>
      <x:c r="M32" s="13" t="n">
        <x:v>30450686000</x:v>
      </x:c>
      <x:c r="N32" s="13" t="n">
        <x:v>37013308000</x:v>
      </x:c>
      <x:c r="O32" s="13" t="n">
        <x:v>23373963000</x:v>
      </x:c>
      <x:c r="P32" s="13" t="n">
        <x:v>8290974000</x:v>
      </x:c>
      <x:c r="Q32" s="13" t="n">
        <x:v>28749694000</x:v>
      </x:c>
      <x:c r="R32" s="13" t="n">
        <x:v>2112249000</x:v>
      </x:c>
      <x:c r="S32" s="13" t="n">
        <x:v>0.07320258516113871</x:v>
      </x:c>
      <x:c r="T32" s="13" t="n">
        <x:v>24.769449456997393</x:v>
      </x:c>
      <x:c r="U32" s="13" t="n">
        <x:v>0.03290345635016157</x:v>
      </x:c>
      <x:c r="V32" s="13" t="n">
        <x:v>0.0010826374397869879</x:v>
      </x:c>
      <x:c r="W32" s="13" t="n">
        <x:v>0.14616578354193543</x:v>
      </x:c>
      <x:c r="X32" s="13" t="n">
        <x:v>0.6974668857206635</x:v>
      </x:c>
      <x:c r="Y32" s="13" t="n">
        <x:v>0.12376475248948807</x:v>
      </x:c>
      <x:c r="Z32" s="13" t="n">
        <x:v>0.14500077860992733</x:v>
      </x:c>
      <x:c r="AA32" s="13" t="n">
        <x:v>0.5028031706283431</x:v>
      </x:c>
      <x:c r="AB32" s="13" t="n">
        <x:v>1.3027609395976198</x:v>
      </x:c>
      <x:c r="AC32" s="13" t="n">
        <x:v>0.0369411060290432</x:v>
      </x:c>
    </x:row>
    <x:row r="33">
      <x:c r="A33" s="13" t="str">
        <x:v>300251.SZ</x:v>
      </x:c>
      <x:c r="B33" s="13" t="str">
        <x:v>光线传媒</x:v>
      </x:c>
      <x:c r="C33" s="13" t="str">
        <x:v>民营企业</x:v>
      </x:c>
      <x:c r="D33" s="13" t="str">
        <x:v>通讯服务--传媒--娱乐--电影和娱乐</x:v>
      </x:c>
      <x:c r="E33" s="13" t="str">
        <x:v>传媒</x:v>
      </x:c>
      <x:c r="F33" s="13" t="n">
        <x:v>-26019219.23</x:v>
      </x:c>
      <x:c r="G33" s="13" t="n">
        <x:v>1672149337.87</x:v>
      </x:c>
      <x:c r="H33" s="13" t="n">
        <x:v>10978138453.87</x:v>
      </x:c>
      <x:c r="I33" s="13" t="n">
        <x:v>-27363033.16</x:v>
      </x:c>
      <x:c r="J33" s="13" t="n">
        <x:v>292015861.99</x:v>
      </x:c>
      <x:c r="K33" s="13" t="n">
        <x:v>9730530127.81</x:v>
      </x:c>
      <x:c r="L33" s="13" t="n">
        <x:v>9932219881.11</x:v>
      </x:c>
      <x:c r="M33" s="13" t="n">
        <x:v>4540662406.67</x:v>
      </x:c>
      <x:c r="N33" s="13" t="n">
        <x:v>1582910155.89</x:v>
      </x:c>
      <x:c r="O33" s="13" t="n">
        <x:v>788610375.98</x:v>
      </x:c>
      <x:c r="P33" s="13" t="n">
        <x:v>24575851.94</x:v>
      </x:c>
      <x:c r="Q33" s="13" t="n">
        <x:v>956603866.21</x:v>
      </x:c>
      <x:c r="R33" s="13" t="n">
        <x:v>7866217.51</x:v>
      </x:c>
      <x:c r="S33" s="13" t="n">
        <x:v>0.1499461976688505</x:v>
      </x:c>
      <x:c r="T33" s="13" t="n">
        <x:v>22.998534215504943</x:v>
      </x:c>
      <x:c r="U33" s="13" t="n">
        <x:v>0.21859274792079125</x:v>
      </x:c>
      <x:c r="V33" s="13" t="n">
        <x:v>0.04778278944356259</x:v>
      </x:c>
      <x:c r="W33" s="13" t="n">
        <x:v>0.6583800830455426</x:v>
      </x:c>
      <x:c r="X33" s="13" t="n">
        <x:v>0.16100597883530163</x:v>
      </x:c>
      <x:c r="Y33" s="13" t="n">
        <x:v>0.38559584949709774</x:v>
      </x:c>
      <x:c r="Z33" s="13" t="n">
        <x:v>0.0025256436820191176</x:v>
      </x:c>
      <x:c r="AA33" s="13" t="n">
        <x:v>0.09830953233226337</x:v>
      </x:c>
      <x:c r="AB33" s="13" t="n">
        <x:v>5.757802008409228</x:v>
      </x:c>
      <x:c r="AC33" s="13" t="n">
        <x:v>0.0008084058531937776</x:v>
      </x:c>
    </x:row>
    <x:row r="34">
      <x:c r="A34" s="13" t="str">
        <x:v>300274.SZ</x:v>
      </x:c>
      <x:c r="B34" s="13" t="str">
        <x:v>阳光电源</x:v>
      </x:c>
      <x:c r="C34" s="13" t="str">
        <x:v>民营企业</x:v>
      </x:c>
      <x:c r="D34" s="13" t="str">
        <x:v>工业--电气设备--电气设备Ⅲ--光伏设备</x:v>
      </x:c>
      <x:c r="E34" s="13" t="str">
        <x:v>电气设备</x:v>
      </x:c>
      <x:c r="F34" s="13" t="n">
        <x:v>346954000</x:v>
      </x:c>
      <x:c r="G34" s="13" t="n">
        <x:v>13461280000</x:v>
      </x:c>
      <x:c r="H34" s="13" t="n">
        <x:v>118679392000</x:v>
      </x:c>
      <x:c r="I34" s="13" t="n">
        <x:v>391866000</x:v>
      </x:c>
      <x:c r="J34" s="13" t="n">
        <x:v>11036279000</x:v>
      </x:c>
      <x:c r="K34" s="13" t="n">
        <x:v>115073771000</x:v>
      </x:c>
      <x:c r="L34" s="13" t="n">
        <x:v>82876505000</x:v>
      </x:c>
      <x:c r="M34" s="13" t="n">
        <x:v>95148599000</x:v>
      </x:c>
      <x:c r="N34" s="13" t="n">
        <x:v>77704134000</x:v>
      </x:c>
      <x:c r="O34" s="13" t="n">
        <x:v>60297878000</x:v>
      </x:c>
      <x:c r="P34" s="13" t="n">
        <x:v>11246545000</x:v>
      </x:c>
      <x:c r="Q34" s="13" t="n">
        <x:v>74875023000</x:v>
      </x:c>
      <x:c r="R34" s="13" t="n">
        <x:v>2785953000</x:v>
      </x:c>
      <x:c r="S34" s="13" t="n">
        <x:v>0.11634904567087773</x:v>
      </x:c>
      <x:c r="T34" s="13" t="n">
        <x:v>25.468839246601373</x:v>
      </x:c>
      <x:c r="U34" s="13" t="n">
        <x:v>0.06907608964041004</x:v>
      </x:c>
      <x:c r="V34" s="13" t="n">
        <x:v>0.004771506160009963</x:v>
      </x:c>
      <x:c r="W34" s="13" t="n">
        <x:v>0.14616578354193543</x:v>
      </x:c>
      <x:c r="X34" s="13" t="n">
        <x:v>0.7850874024545437</x:v>
      </x:c>
      <x:c r="Y34" s="13" t="n">
        <x:v>0.30285546999237556</x:v>
      </x:c>
      <x:c r="Z34" s="13" t="n">
        <x:v>0.09773334880978221</x:v>
      </x:c>
      <x:c r="AA34" s="13" t="n">
        <x:v>0.6506697603574667</x:v>
      </x:c>
      <x:c r="AB34" s="13" t="n">
        <x:v>1.5779759115237852</x:v>
      </x:c>
      <x:c r="AC34" s="13" t="n">
        <x:v>0.02421014776686166</x:v>
      </x:c>
    </x:row>
    <x:row r="35">
      <x:c r="A35" s="13" t="str">
        <x:v>300308.SZ</x:v>
      </x:c>
      <x:c r="B35" s="13" t="str">
        <x:v>中际旭创</x:v>
      </x:c>
      <x:c r="C35" s="13" t="str">
        <x:v>民营企业</x:v>
      </x:c>
      <x:c r="D35" s="13" t="str">
        <x:v>信息技术--硬件设备--通信设备Ⅲ--通信设备Ⅳ</x:v>
      </x:c>
      <x:c r="E35" s="13" t="str">
        <x:v>硬件设备</x:v>
      </x:c>
      <x:c r="F35" s="13" t="n">
        <x:v>182798156.36</x:v>
      </x:c>
      <x:c r="G35" s="13" t="n">
        <x:v>10797254300.45</x:v>
      </x:c>
      <x:c r="H35" s="13" t="n">
        <x:v>45288970887.78</x:v>
      </x:c>
      <x:c r="I35" s="13" t="n">
        <x:v>-144431151.9</x:v>
      </x:c>
      <x:c r="J35" s="13" t="n">
        <x:v>5171485967.85</x:v>
      </x:c>
      <x:c r="K35" s="13" t="n">
        <x:v>28866276555.26</x:v>
      </x:c>
      <x:c r="L35" s="13" t="n">
        <x:v>20006747461.32</x:v>
      </x:c>
      <x:c r="M35" s="13" t="n">
        <x:v>18195744299.84</x:v>
      </x:c>
      <x:c r="N35" s="13" t="n">
        <x:v>23815251344</x:v>
      </x:c>
      <x:c r="O35" s="13" t="n">
        <x:v>6497384821.08</x:v>
      </x:c>
      <x:c r="P35" s="13" t="n">
        <x:v>5872418795.9</x:v>
      </x:c>
      <x:c r="Q35" s="13" t="n">
        <x:v>8573435376.03</x:v>
      </x:c>
      <x:c r="R35" s="13" t="n">
        <x:v>2866157321.96</x:v>
      </x:c>
      <x:c r="S35" s="13" t="n">
        <x:v>0.2424442914372486</x:v>
      </x:c>
      <x:c r="T35" s="13" t="n">
        <x:v>24.085939849503408</x:v>
      </x:c>
      <x:c r="U35" s="13" t="n">
        <x:v>0.04828345891002559</x:v>
      </x:c>
      <x:c r="V35" s="13" t="n">
        <x:v>0.0023312924043161296</x:v>
      </x:c>
      <x:c r="W35" s="13" t="n">
        <x:v>0.12235054081259594</x:v>
      </x:c>
      <x:c r="X35" s="13" t="n">
        <x:v>0.9745765408713306</x:v>
      </x:c>
      <x:c r="Y35" s="13" t="n">
        <x:v>0.40526042409263663</x:v>
      </x:c>
      <x:c r="Z35" s="13" t="n">
        <x:v>0.20343527107343293</x:v>
      </x:c>
      <x:c r="AA35" s="13" t="n">
        <x:v>0.2970052393012133</x:v>
      </x:c>
      <x:c r="AB35" s="13" t="n">
        <x:v>2.8004720054145555</x:v>
      </x:c>
      <x:c r="AC35" s="13" t="n">
        <x:v>0.09929085645920378</x:v>
      </x:c>
    </x:row>
    <x:row r="36">
      <x:c r="A36" s="13" t="str">
        <x:v>300316.SZ</x:v>
      </x:c>
      <x:c r="B36" s="13" t="str">
        <x:v>晶盛机电</x:v>
      </x:c>
      <x:c r="C36" s="13" t="str">
        <x:v>民营企业</x:v>
      </x:c>
      <x:c r="D36" s="13" t="str">
        <x:v>工业--电气设备--电气设备Ⅲ--光伏设备</x:v>
      </x:c>
      <x:c r="E36" s="13" t="str">
        <x:v>电气设备</x:v>
      </x:c>
      <x:c r="F36" s="13" t="n">
        <x:v>53174919.9</x:v>
      </x:c>
      <x:c r="G36" s="13" t="n">
        <x:v>884734667.29</x:v>
      </x:c>
      <x:c r="H36" s="13" t="n">
        <x:v>27756229482.77</x:v>
      </x:c>
      <x:c r="I36" s="13" t="n">
        <x:v>9769220.7</x:v>
      </x:c>
      <x:c r="J36" s="13" t="n">
        <x:v>2509729984.52</x:v>
      </x:c>
      <x:c r="K36" s="13" t="n">
        <x:v>31550179908.08</x:v>
      </x:c>
      <x:c r="L36" s="13" t="n">
        <x:v>36808359204.06</x:v>
      </x:c>
      <x:c r="M36" s="13" t="n">
        <x:v>21142612098.06</x:v>
      </x:c>
      <x:c r="N36" s="13" t="n">
        <x:v>17491827211.85</x:v>
      </x:c>
      <x:c r="O36" s="13" t="n">
        <x:v>12126272372.47</x:v>
      </x:c>
      <x:c r="P36" s="13" t="n">
        <x:v>7076718118.96</x:v>
      </x:c>
      <x:c r="Q36" s="13" t="n">
        <x:v>13616061843.68</x:v>
      </x:c>
      <x:c r="R36" s="13" t="n">
        <x:v>1645300520.43</x:v>
      </x:c>
      <x:c r="S36" s="13" t="n">
        <x:v>0.03379095809004671</x:v>
      </x:c>
      <x:c r="T36" s="13" t="n">
        <x:v>24.1748451282337</x:v>
      </x:c>
      <x:c r="U36" s="13" t="n">
        <x:v>0.01554958484525822</x:v>
      </x:c>
      <x:c r="V36" s="13" t="n">
        <x:v>0.00024178958885988407</x:v>
      </x:c>
      <x:c r="W36" s="13" t="n">
        <x:v>0.14616578354193543</x:v>
      </x:c>
      <x:c r="X36" s="13" t="n">
        <x:v>0.5117671453790203</x:v>
      </x:c>
      <x:c r="Y36" s="13" t="n">
        <x:v>0.285777759488494</x:v>
      </x:c>
      <x:c r="Z36" s="13" t="n">
        <x:v>0.22430040461188155</x:v>
      </x:c>
      <x:c r="AA36" s="13" t="n">
        <x:v>0.43156843743363016</x:v>
      </x:c>
      <x:c r="AB36" s="13" t="n">
        <x:v>1.743537622168177</x:v>
      </x:c>
      <x:c r="AC36" s="13" t="n">
        <x:v>0.05214868901614848</x:v>
      </x:c>
    </x:row>
    <x:row r="37">
      <x:c r="A37" s="13" t="str">
        <x:v>300347.SZ</x:v>
      </x:c>
      <x:c r="B37" s="13" t="str">
        <x:v>泰格医药</x:v>
      </x:c>
      <x:c r="C37" s="13" t="str">
        <x:v>民营企业</x:v>
      </x:c>
      <x:c r="D37" s="13" t="str">
        <x:v>医疗保健--医药生物--生命科学工具和服务Ⅲ--生命科学工具和服务Ⅳ</x:v>
      </x:c>
      <x:c r="E37" s="13" t="str">
        <x:v>医药生物</x:v>
      </x:c>
      <x:c r="F37" s="13" t="n">
        <x:v>90559390.82</x:v>
      </x:c>
      <x:c r="G37" s="13" t="n">
        <x:v>887890076.31</x:v>
      </x:c>
      <x:c r="H37" s="13" t="n">
        <x:v>28358795158.17</x:v>
      </x:c>
      <x:c r="I37" s="13" t="n">
        <x:v>141235382.04</x:v>
      </x:c>
      <x:c r="J37" s="13" t="n">
        <x:v>405143491.82</x:v>
      </x:c>
      <x:c r="K37" s="13" t="n">
        <x:v>28671015787.16</x:v>
      </x:c>
      <x:c r="L37" s="13" t="n">
        <x:v>29680743000</x:v>
      </x:c>
      <x:c r="M37" s="13" t="n">
        <x:v>6299685225.86</x:v>
      </x:c>
      <x:c r="N37" s="13" t="n">
        <x:v>6603120162.78</x:v>
      </x:c>
      <x:c r="O37" s="13" t="n">
        <x:v>3661852465.12</x:v>
      </x:c>
      <x:c r="P37" s="13" t="n">
        <x:v>1199033750.61</x:v>
      </x:c>
      <x:c r="Q37" s="13" t="n">
        <x:v>4606536600.57</x:v>
      </x:c>
      <x:c r="R37" s="13" t="n">
        <x:v>356554496.96</x:v>
      </x:c>
      <x:c r="S37" s="13" t="n">
        <x:v>0.034502504837484765</x:v>
      </x:c>
      <x:c r="T37" s="13" t="n">
        <x:v>24.07915254653006</x:v>
      </x:c>
      <x:c r="U37" s="13" t="n">
        <x:v>0.031915611596320545</x:v>
      </x:c>
      <x:c r="V37" s="13" t="n">
        <x:v>0.0010186062635671905</x:v>
      </x:c>
      <x:c r="W37" s="13" t="n">
        <x:v>0.13623235092080122</x:v>
      </x:c>
      <x:c r="X37" s="13" t="n">
        <x:v>0.22632120436558226</x:v>
      </x:c>
      <x:c r="Y37" s="13" t="n">
        <x:v>0.09200346371827273</x:v>
      </x:c>
      <x:c r="Z37" s="13" t="n">
        <x:v>0.04182041402059337</x:v>
      </x:c>
      <x:c r="AA37" s="13" t="n">
        <x:v>0.16066876160812504</x:v>
      </x:c>
      <x:c r="AB37" s="13" t="n">
        <x:v>1.7203547346229737</x:v>
      </x:c>
      <x:c r="AC37" s="13" t="n">
        <x:v>0.012436060849984918</x:v>
      </x:c>
    </x:row>
    <x:row r="38">
      <x:c r="A38" s="13" t="str">
        <x:v>300394.SZ</x:v>
      </x:c>
      <x:c r="B38" s="13" t="str">
        <x:v>天孚通信</x:v>
      </x:c>
      <x:c r="C38" s="13" t="str">
        <x:v>民营企业</x:v>
      </x:c>
      <x:c r="D38" s="13" t="str">
        <x:v>信息技术--硬件设备--通信设备Ⅲ--通信设备Ⅳ</x:v>
      </x:c>
      <x:c r="E38" s="13" t="str">
        <x:v>硬件设备</x:v>
      </x:c>
      <x:c r="F38" s="13" t="n">
        <x:v>1181000</x:v>
      </x:c>
      <x:c r="G38" s="13" t="n">
        <x:v>2028007000</x:v>
      </x:c>
      <x:c r="H38" s="13" t="n">
        <x:v>6449303000</x:v>
      </x:c>
      <x:c r="I38" s="13" t="n">
        <x:v>1558000</x:v>
      </x:c>
      <x:c r="J38" s="13" t="n">
        <x:v>1350417000</x:v>
      </x:c>
      <x:c r="K38" s="13" t="n">
        <x:v>4736726000</x:v>
      </x:c>
      <x:c r="L38" s="13" t="n">
        <x:v>3898222000</x:v>
      </x:c>
      <x:c r="M38" s="13" t="n">
        <x:v>3524465000</x:v>
      </x:c>
      <x:c r="N38" s="13" t="n">
        <x:v>3225918000</x:v>
      </x:c>
      <x:c r="O38" s="13" t="n">
        <x:v>726690000</x:v>
      </x:c>
      <x:c r="P38" s="13" t="n">
        <x:v>1040386000</x:v>
      </x:c>
      <x:c r="Q38" s="13" t="n">
        <x:v>750728000</x:v>
      </x:c>
      <x:c r="R38" s="13" t="n">
        <x:v>451475000</x:v>
      </x:c>
      <x:c r="S38" s="13" t="n">
        <x:v>0.31463679098345976</x:v>
      </x:c>
      <x:c r="T38" s="13" t="n">
        <x:v>22.278612016698723</x:v>
      </x:c>
      <x:c r="U38" s="13" t="n">
        <x:v>0.006540282819200799</x:v>
      </x:c>
      <x:c r="V38" s="13" t="n">
        <x:v>0.00004277529935513315</x:v>
      </x:c>
      <x:c r="W38" s="13" t="n">
        <x:v>0.12235054081259594</x:v>
      </x:c>
      <x:c r="X38" s="13" t="n">
        <x:v>0.7471771688723545</x:v>
      </x:c>
      <x:c r="Y38" s="13" t="n">
        <x:v>0.5906558665204616</x:v>
      </x:c>
      <x:c r="Z38" s="13" t="n">
        <x:v>0.2196424281244049</x:v>
      </x:c>
      <x:c r="AA38" s="13" t="n">
        <x:v>0.15849090701045407</x:v>
      </x:c>
      <x:c r="AB38" s="13" t="n">
        <x:v>4.850025457898141</x:v>
      </x:c>
      <x:c r="AC38" s="13" t="n">
        <x:v>0.09531372513419607</x:v>
      </x:c>
    </x:row>
    <x:row r="39">
      <x:c r="A39" s="13" t="str">
        <x:v>300408.SZ</x:v>
      </x:c>
      <x:c r="B39" s="13" t="str">
        <x:v>三环集团</x:v>
      </x:c>
      <x:c r="C39" s="13" t="str">
        <x:v>民营企业</x:v>
      </x:c>
      <x:c r="D39" s="13" t="str">
        <x:v>信息技术--硬件设备--电子设备、仪器和元件--电子元件</x:v>
      </x:c>
      <x:c r="E39" s="13" t="str">
        <x:v>硬件设备</x:v>
      </x:c>
      <x:c r="F39" s="13" t="n">
        <x:v>20396000</x:v>
      </x:c>
      <x:c r="G39" s="13" t="n">
        <x:v>2618384000</x:v>
      </x:c>
      <x:c r="H39" s="13" t="n">
        <x:v>26506089000</x:v>
      </x:c>
      <x:c r="I39" s="13" t="n">
        <x:v>27700000</x:v>
      </x:c>
      <x:c r="J39" s="13" t="n">
        <x:v>2190449000</x:v>
      </x:c>
      <x:c r="K39" s="13" t="n">
        <x:v>23915804000</x:v>
      </x:c>
      <x:c r="L39" s="13" t="n">
        <x:v>21826964000</x:v>
      </x:c>
      <x:c r="M39" s="13" t="n">
        <x:v>13602036000</x:v>
      </x:c>
      <x:c r="N39" s="13" t="n">
        <x:v>7266133000</x:v>
      </x:c>
      <x:c r="O39" s="13" t="n">
        <x:v>2744802000</x:v>
      </x:c>
      <x:c r="P39" s="13" t="n">
        <x:v>6137581000</x:v>
      </x:c>
      <x:c r="Q39" s="13" t="n">
        <x:v>4044036000</x:v>
      </x:c>
      <x:c r="R39" s="13" t="n">
        <x:v>639035000</x:v>
      </x:c>
      <x:c r="S39" s="13" t="n">
        <x:v>0.09955372895639186</x:v>
      </x:c>
      <x:c r="T39" s="13" t="n">
        <x:v>23.897805332581093</x:v>
      </x:c>
      <x:c r="U39" s="13" t="n">
        <x:v>0.014731485680022851</x:v>
      </x:c>
      <x:c r="V39" s="13" t="n">
        <x:v>0.00021701667034071834</x:v>
      </x:c>
      <x:c r="W39" s="13" t="n">
        <x:v>0.12235054081259594</x:v>
      </x:c>
      <x:c r="X39" s="13" t="n">
        <x:v>0.31769537864433567</x:v>
      </x:c>
      <x:c r="Y39" s="13" t="n">
        <x:v>0.45397737830599383</x:v>
      </x:c>
      <x:c r="Z39" s="13" t="n">
        <x:v>0.2566328524853273</x:v>
      </x:c>
      <x:c r="AA39" s="13" t="n">
        <x:v>0.1690947124336694</x:v>
      </x:c>
      <x:c r="AB39" s="13" t="n">
        <x:v>4.9555618219456266</x:v>
      </x:c>
      <x:c r="AC39" s="13" t="n">
        <x:v>0.026720197238612593</x:v>
      </x:c>
    </x:row>
    <x:row r="40">
      <x:c r="A40" s="13" t="str">
        <x:v>300418.SZ</x:v>
      </x:c>
      <x:c r="B40" s="13" t="str">
        <x:v>昆仑万维</x:v>
      </x:c>
      <x:c r="C40" s="13" t="str">
        <x:v>民营企业</x:v>
      </x:c>
      <x:c r="D40" s="13" t="str">
        <x:v>通讯服务--传媒--互动媒体与服务Ⅲ--互动媒体与服务Ⅳ</x:v>
      </x:c>
      <x:c r="E40" s="13" t="str">
        <x:v>传媒</x:v>
      </x:c>
      <x:c r="F40" s="13" t="n">
        <x:v>81051953.25</x:v>
      </x:c>
      <x:c r="G40" s="13" t="n">
        <x:v>-1592728558.53</x:v>
      </x:c>
      <x:c r="H40" s="13" t="n">
        <x:v>20233944014.56</x:v>
      </x:c>
      <x:c r="I40" s="13" t="n">
        <x:v>65112781.31</x:v>
      </x:c>
      <x:c r="J40" s="13" t="n">
        <x:v>-1594796845.47</x:v>
      </x:c>
      <x:c r="K40" s="13" t="n">
        <x:v>20676372303.47</x:v>
      </x:c>
      <x:c r="L40" s="13" t="n">
        <x:v>21484962358.21</x:v>
      </x:c>
      <x:c r="M40" s="13" t="n">
        <x:v>4857989644.85</x:v>
      </x:c>
      <x:c r="N40" s="13" t="n">
        <x:v>5658456133.46</x:v>
      </x:c>
      <x:c r="O40" s="13" t="n">
        <x:v>3011477477.19</x:v>
      </x:c>
      <x:c r="P40" s="13" t="n">
        <x:v>367668657.21</x:v>
      </x:c>
      <x:c r="Q40" s="13" t="n">
        <x:v>3692631159.01</x:v>
      </x:c>
      <x:c r="R40" s="13" t="n">
        <x:v>414433275.34</x:v>
      </x:c>
      <x:c r="S40" s="13" t="n">
        <x:v>-0.07470993317922711</x:v>
      </x:c>
      <x:c r="T40" s="13" t="n">
        <x:v>23.75225745067013</x:v>
      </x:c>
      <x:c r="U40" s="13" t="n">
        <x:v>0.7814072520792087</x:v>
      </x:c>
      <x:c r="V40" s="13" t="n">
        <x:v>0.61059729360198</x:v>
      </x:c>
      <x:c r="W40" s="13" t="n">
        <x:v>0.6583800830455426</x:v>
      </x:c>
      <x:c r="X40" s="13" t="n">
        <x:v>0.2684192129526161</x:v>
      </x:c>
      <x:c r="Y40" s="13" t="n">
        <x:v>0.08930542266111693</x:v>
      </x:c>
      <x:c r="Z40" s="13" t="n">
        <x:v>0.017782067947591376</x:v>
      </x:c>
      <x:c r="AA40" s="13" t="n">
        <x:v>0.17859182959238387</x:v>
      </x:c>
      <x:c r="AB40" s="13" t="n">
        <x:v>1.6131582193943468</x:v>
      </x:c>
      <x:c r="AC40" s="13" t="n">
        <x:v>0.020043809874251875</x:v>
      </x:c>
    </x:row>
    <x:row r="41">
      <x:c r="A41" s="13" t="str">
        <x:v>300433.SZ</x:v>
      </x:c>
      <x:c r="B41" s="13" t="str">
        <x:v>蓝思科技</x:v>
      </x:c>
      <x:c r="C41" s="13" t="str">
        <x:v>民营企业</x:v>
      </x:c>
      <x:c r="D41" s="13" t="str">
        <x:v>信息技术--硬件设备--电子设备、仪器和元件--电子元件</x:v>
      </x:c>
      <x:c r="E41" s="13" t="str">
        <x:v>硬件设备</x:v>
      </x:c>
      <x:c r="F41" s="13" t="n">
        <x:v>269418000</x:v>
      </x:c>
      <x:c r="G41" s="13" t="n">
        <x:v>4017827000</x:v>
      </x:c>
      <x:c r="H41" s="13" t="n">
        <x:v>84338600000</x:v>
      </x:c>
      <x:c r="I41" s="13" t="n">
        <x:v>388438000</x:v>
      </x:c>
      <x:c r="J41" s="13" t="n">
        <x:v>3623901000</x:v>
      </x:c>
      <x:c r="K41" s="13" t="n">
        <x:v>81016047000</x:v>
      </x:c>
      <x:c r="L41" s="13" t="n">
        <x:v>77469741000</x:v>
      </x:c>
      <x:c r="M41" s="13" t="n">
        <x:v>30772781000</x:v>
      </x:c>
      <x:c r="N41" s="13" t="n">
        <x:v>69896776000</x:v>
      </x:c>
      <x:c r="O41" s="13" t="n">
        <x:v>23065161000</x:v>
      </x:c>
      <x:c r="P41" s="13" t="n">
        <x:v>37809136000</x:v>
      </x:c>
      <x:c r="Q41" s="13" t="n">
        <x:v>32170137000</x:v>
      </x:c>
      <x:c r="R41" s="13" t="n">
        <x:v>6252235000</x:v>
      </x:c>
      <x:c r="S41" s="13" t="n">
        <x:v>0.05083372263708433</x:v>
      </x:c>
      <x:c r="T41" s="13" t="n">
        <x:v>25.117913083108547</x:v>
      </x:c>
      <x:c r="U41" s="13" t="n">
        <x:v>0.14170995145887985</x:v>
      </x:c>
      <x:c r="V41" s="13" t="n">
        <x:v>0.020081710342478083</x:v>
      </x:c>
      <x:c r="W41" s="13" t="n">
        <x:v>0.12235054081259594</x:v>
      </x:c>
      <x:c r="X41" s="13" t="n">
        <x:v>0.8820573362704295</x:v>
      </x:c>
      <x:c r="Y41" s="13" t="n">
        <x:v>0.09513695478131635</x:v>
      </x:c>
      <x:c r="Z41" s="13" t="n">
        <x:v>0.4666870009098321</x:v>
      </x:c>
      <x:c r="AA41" s="13" t="n">
        <x:v>0.3970835185281257</x:v>
      </x:c>
      <x:c r="AB41" s="13" t="n">
        <x:v>1.334167188340892</x:v>
      </x:c>
      <x:c r="AC41" s="13" t="n">
        <x:v>0.07717279763106684</x:v>
      </x:c>
    </x:row>
    <x:row r="42">
      <x:c r="A42" s="13" t="str">
        <x:v>300442.SZ</x:v>
      </x:c>
      <x:c r="B42" s="13" t="str">
        <x:v>润泽科技</x:v>
      </x:c>
      <x:c r="C42" s="13" t="str">
        <x:v>民营企业</x:v>
      </x:c>
      <x:c r="D42" s="13" t="str">
        <x:v>信息技术--软件服务--信息技术服务--互联网服务与基础架构</x:v>
      </x:c>
      <x:c r="E42" s="13" t="str">
        <x:v>软件服务</x:v>
      </x:c>
      <x:c r="F42" s="13" t="n">
        <x:v>310631466.68</x:v>
      </x:c>
      <x:c r="G42" s="13" t="n">
        <x:v>5049938663.92</x:v>
      </x:c>
      <x:c r="H42" s="13" t="n">
        <x:v>42693736228.86</x:v>
      </x:c>
      <x:c r="I42" s="13" t="n">
        <x:v>247417902.77</x:v>
      </x:c>
      <x:c r="J42" s="13" t="n">
        <x:v>1790336174.26</x:v>
      </x:c>
      <x:c r="K42" s="13" t="n">
        <x:v>31308886649.72</x:v>
      </x:c>
      <x:c r="L42" s="13" t="n">
        <x:v>23310849208.6</x:v>
      </x:c>
      <x:c r="M42" s="13" t="n">
        <x:v>8940963098.28</x:v>
      </x:c>
      <x:c r="N42" s="13" t="n">
        <x:v>4302111006.9</x:v>
      </x:c>
      <x:c r="O42" s="13" t="n">
        <x:v>6017404718.55</x:v>
      </x:c>
      <x:c r="P42" s="13" t="n">
        <x:v>20219097818.66</x:v>
      </x:c>
      <x:c r="Q42" s="13" t="n">
        <x:v>19758779691.39</x:v>
      </x:c>
      <x:c r="R42" s="13" t="n">
        <x:v>4888330682.59</x:v>
      </x:c>
      <x:c r="S42" s="13" t="n">
        <x:v>0.12555870261306332</x:v>
      </x:c>
      <x:c r="T42" s="13" t="n">
        <x:v>24.167167812716688</x:v>
      </x:c>
      <x:c r="U42" s="13" t="n">
        <x:v>0.05017682206585322</x:v>
      </x:c>
      <x:c r="V42" s="13" t="n">
        <x:v>0.0025177134726282946</x:v>
      </x:c>
      <x:c r="W42" s="13" t="n">
        <x:v>0.23288063539086398</x:v>
      </x:c>
      <x:c r="X42" s="13" t="n">
        <x:v>0.15752954273010006</x:v>
      </x:c>
      <x:c r="Y42" s="13" t="n">
        <x:v>0.09337790935967843</x:v>
      </x:c>
      <x:c r="Z42" s="13" t="n">
        <x:v>0.6457942131532429</x:v>
      </x:c>
      <x:c r="AA42" s="13" t="n">
        <x:v>0.6310917380246961</x:v>
      </x:c>
      <x:c r="AB42" s="13" t="n">
        <x:v>1.4858503817630009</x:v>
      </x:c>
      <x:c r="AC42" s="13" t="n">
        <x:v>0.15613237025257545</x:v>
      </x:c>
    </x:row>
    <x:row r="43">
      <x:c r="A43" s="13" t="str">
        <x:v>300476.SZ</x:v>
      </x:c>
      <x:c r="B43" s="13" t="str">
        <x:v>胜宏科技</x:v>
      </x:c>
      <x:c r="C43" s="13" t="str">
        <x:v>民营企业</x:v>
      </x:c>
      <x:c r="D43" s="13" t="str">
        <x:v>信息技术--硬件设备--电子设备、仪器和元件--电子元件</x:v>
      </x:c>
      <x:c r="E43" s="13" t="str">
        <x:v>硬件设备</x:v>
      </x:c>
      <x:c r="F43" s="13" t="n">
        <x:v>137778000</x:v>
      </x:c>
      <x:c r="G43" s="13" t="n">
        <x:v>4311988000</x:v>
      </x:c>
      <x:c r="H43" s="13" t="n">
        <x:v>35244489000</x:v>
      </x:c>
      <x:c r="I43" s="13" t="n">
        <x:v>110431000</x:v>
      </x:c>
      <x:c r="J43" s="13" t="n">
        <x:v>1154431000</x:v>
      </x:c>
      <x:c r="K43" s="13" t="n">
        <x:v>19175313000</x:v>
      </x:c>
      <x:c r="L43" s="13" t="n">
        <x:v>17383616000</x:v>
      </x:c>
      <x:c r="M43" s="13" t="n">
        <x:v>8079998000</x:v>
      </x:c>
      <x:c r="N43" s="13" t="n">
        <x:v>10731469000</x:v>
      </x:c>
      <x:c r="O43" s="13" t="n">
        <x:v>7536563000</x:v>
      </x:c>
      <x:c r="P43" s="13" t="n">
        <x:v>7414957000</x:v>
      </x:c>
      <x:c r="Q43" s="13" t="n">
        <x:v>10247380000</x:v>
      </x:c>
      <x:c r="R43" s="13" t="n">
        <x:v>1121532000</x:v>
      </x:c>
      <x:c r="S43" s="13" t="n">
        <x:v>0.12625423509474062</x:v>
      </x:c>
      <x:c r="T43" s="13" t="n">
        <x:v>23.676889507404187</x:v>
      </x:c>
      <x:c r="U43" s="13" t="n">
        <x:v>0.021757168758005003</x:v>
      </x:c>
      <x:c r="V43" s="13" t="n">
        <x:v>0.00047337439236430894</x:v>
      </x:c>
      <x:c r="W43" s="13" t="n">
        <x:v>0.12235054081259594</x:v>
      </x:c>
      <x:c r="X43" s="13" t="n">
        <x:v>0.5870778654374694</x:v>
      </x:c>
      <x:c r="Y43" s="13" t="n">
        <x:v>0.028340345735164793</x:v>
      </x:c>
      <x:c r="Z43" s="13" t="n">
        <x:v>0.386692879537351</x:v>
      </x:c>
      <x:c r="AA43" s="13" t="n">
        <x:v>0.5344048360514376</x:v>
      </x:c>
      <x:c r="AB43" s="13" t="n">
        <x:v>1.0721064761218078</x:v>
      </x:c>
      <x:c r="AC43" s="13" t="n">
        <x:v>0.058488328195737925</x:v>
      </x:c>
    </x:row>
    <x:row r="44">
      <x:c r="A44" s="13" t="str">
        <x:v>300498.SZ</x:v>
      </x:c>
      <x:c r="B44" s="13" t="str">
        <x:v>温氏股份</x:v>
      </x:c>
      <x:c r="C44" s="13" t="str">
        <x:v>民营企业</x:v>
      </x:c>
      <x:c r="D44" s="13" t="str">
        <x:v>日常消费--食品饮料--食品--食品加工与肉类</x:v>
      </x:c>
      <x:c r="E44" s="13" t="str">
        <x:v>食品饮料</x:v>
      </x:c>
      <x:c r="F44" s="13" t="n">
        <x:v>706851580.34</x:v>
      </x:c>
      <x:c r="G44" s="13" t="n">
        <x:v>5266415817.82</x:v>
      </x:c>
      <x:c r="H44" s="13" t="n">
        <x:v>89507573237.28</x:v>
      </x:c>
      <x:c r="I44" s="13" t="n">
        <x:v>1034818133.64</x:v>
      </x:c>
      <x:c r="J44" s="13" t="n">
        <x:v>9230418856.62</x:v>
      </x:c>
      <x:c r="K44" s="13" t="n">
        <x:v>93857512000</x:v>
      </x:c>
      <x:c r="L44" s="13" t="n">
        <x:v>92895140058.76</x:v>
      </x:c>
      <x:c r="M44" s="13" t="n">
        <x:v>35522976306.79</x:v>
      </x:c>
      <x:c r="N44" s="13" t="n">
        <x:v>104700576011.3</x:v>
      </x:c>
      <x:c r="O44" s="13" t="n">
        <x:v>29135876174.6</x:v>
      </x:c>
      <x:c r="P44" s="13" t="n">
        <x:v>37739664305.71</x:v>
      </x:c>
      <x:c r="Q44" s="13" t="n">
        <x:v>49880145648.94</x:v>
      </x:c>
      <x:c r="R44" s="13" t="n">
        <x:v>9135258924.17</x:v>
      </x:c>
      <x:c r="S44" s="13" t="n">
        <x:v>0.06673477094865675</x:v>
      </x:c>
      <x:c r="T44" s="13" t="n">
        <x:v>25.265043639396893</x:v>
      </x:c>
      <x:c r="U44" s="13" t="n">
        <x:v>0.20826747992360703</x:v>
      </x:c>
      <x:c r="V44" s="13" t="n">
        <x:v>0.04337534319373006</x:v>
      </x:c>
      <x:c r="W44" s="13" t="n">
        <x:v>0.21624588016252744</x:v>
      </x:c>
      <x:c r="X44" s="13" t="n">
        <x:v>1.1212753859940572</x:v>
      </x:c>
      <x:c r="Y44" s="13" t="n">
        <x:v>0.06805102752127078</x:v>
      </x:c>
      <x:c r="Z44" s="13" t="n">
        <x:v>0.40209529851707554</x:v>
      </x:c>
      <x:c r="AA44" s="13" t="n">
        <x:v>0.531445428139412</x:v>
      </x:c>
      <x:c r="AB44" s="13" t="n">
        <x:v>1.2192177126891461</x:v>
      </x:c>
      <x:c r="AC44" s="13" t="n">
        <x:v>0.09733114302209503</x:v>
      </x:c>
    </x:row>
    <x:row r="45">
      <x:c r="A45" s="13" t="str">
        <x:v>300502.SZ</x:v>
      </x:c>
      <x:c r="B45" s="13" t="str">
        <x:v>新易盛</x:v>
      </x:c>
      <x:c r="C45" s="13" t="str">
        <x:v>民营企业</x:v>
      </x:c>
      <x:c r="D45" s="13" t="str">
        <x:v>信息技术--硬件设备--通信设备Ⅲ--通信设备Ⅳ</x:v>
      </x:c>
      <x:c r="E45" s="13" t="str">
        <x:v>硬件设备</x:v>
      </x:c>
      <x:c r="F45" s="13" t="n">
        <x:v>-318175291.13</x:v>
      </x:c>
      <x:c r="G45" s="13" t="n">
        <x:v>9531922730.17</x:v>
      </x:c>
      <x:c r="H45" s="13" t="n">
        <x:v>25881071176.47</x:v>
      </x:c>
      <x:c r="I45" s="13" t="n">
        <x:v>-179316633.66</x:v>
      </x:c>
      <x:c r="J45" s="13" t="n">
        <x:v>2837813624.37</x:v>
      </x:c>
      <x:c r="K45" s="13" t="n">
        <x:v>12266549853.89</x:v>
      </x:c>
      <x:c r="L45" s="13" t="n">
        <x:v>6439983560.34</x:v>
      </x:c>
      <x:c r="M45" s="13" t="n">
        <x:v>8925435606.93</x:v>
      </x:c>
      <x:c r="N45" s="13" t="n">
        <x:v>8574973919.38</x:v>
      </x:c>
      <x:c r="O45" s="13" t="n">
        <x:v>3824576783.8</x:v>
      </x:c>
      <x:c r="P45" s="13" t="n">
        <x:v>2418932907.49</x:v>
      </x:c>
      <x:c r="Q45" s="13" t="n">
        <x:v>3938420036.03</x:v>
      </x:c>
      <x:c r="R45" s="13" t="n">
        <x:v>1476338009.26</x:v>
      </x:c>
      <x:c r="S45" s="13" t="n">
        <x:v>0.3560033267640313</x:v>
      </x:c>
      <x:c r="T45" s="13" t="n">
        <x:v>23.23014187062714</x:v>
      </x:c>
      <x:c r="U45" s="13" t="n">
        <x:v>0.01738505275088082</x:v>
      </x:c>
      <x:c r="V45" s="13" t="n">
        <x:v>0.0003022400591509088</x:v>
      </x:c>
      <x:c r="W45" s="13" t="n">
        <x:v>0.12235054081259594</x:v>
      </x:c>
      <x:c r="X45" s="13" t="n">
        <x:v>0.9167892018792798</x:v>
      </x:c>
      <x:c r="Y45" s="13" t="n">
        <x:v>0.4158348422243931</x:v>
      </x:c>
      <x:c r="Z45" s="13" t="n">
        <x:v>0.1971974953269278</x:v>
      </x:c>
      <x:c r="AA45" s="13" t="n">
        <x:v>0.3210699082416429</x:v>
      </x:c>
      <x:c r="AB45" s="13" t="n">
        <x:v>2.333705429770956</x:v>
      </x:c>
      <x:c r="AC45" s="13" t="n">
        <x:v>0.12035478817149388</x:v>
      </x:c>
    </x:row>
    <x:row r="46">
      <x:c r="A46" s="13" t="str">
        <x:v>300628.SZ</x:v>
      </x:c>
      <x:c r="B46" s="13" t="str">
        <x:v>亿联网络</x:v>
      </x:c>
      <x:c r="C46" s="13" t="str">
        <x:v>民营企业</x:v>
      </x:c>
      <x:c r="D46" s="13" t="str">
        <x:v>信息技术--硬件设备--通信设备Ⅲ--通信设备Ⅳ</x:v>
      </x:c>
      <x:c r="E46" s="13" t="str">
        <x:v>硬件设备</x:v>
      </x:c>
      <x:c r="F46" s="13" t="n">
        <x:v>-8158583.75</x:v>
      </x:c>
      <x:c r="G46" s="13" t="n">
        <x:v>2600608389.66</x:v>
      </x:c>
      <x:c r="H46" s="13" t="n">
        <x:v>10695433077.25</x:v>
      </x:c>
      <x:c r="I46" s="13" t="n">
        <x:v>-67244566.63</x:v>
      </x:c>
      <x:c r="J46" s="13" t="n">
        <x:v>2647857338.07</x:v>
      </x:c>
      <x:c r="K46" s="13" t="n">
        <x:v>9774512670.1</x:v>
      </x:c>
      <x:c r="L46" s="13" t="n">
        <x:v>8885225066.6</x:v>
      </x:c>
      <x:c r="M46" s="13" t="n">
        <x:v>8036748082.19</x:v>
      </x:c>
      <x:c r="N46" s="13" t="n">
        <x:v>5554633124.62</x:v>
      </x:c>
      <x:c r="O46" s="13" t="n">
        <x:v>796374165.95</x:v>
      </x:c>
      <x:c r="P46" s="13" t="n">
        <x:v>1076501689.45</x:v>
      </x:c>
      <x:c r="Q46" s="13" t="n">
        <x:v>826841266.48</x:v>
      </x:c>
      <x:c r="R46" s="13" t="n">
        <x:v>140117334.32</x:v>
      </x:c>
      <x:c r="S46" s="13" t="n">
        <x:v>0.2423884836813516</x:v>
      </x:c>
      <x:c r="T46" s="13" t="n">
        <x:v>23.003044086853826</x:v>
      </x:c>
      <x:c r="U46" s="13" t="n">
        <x:v>0.011261560768722527</x:v>
      </x:c>
      <x:c r="V46" s="13" t="n">
        <x:v>0.00012682275094763032</x:v>
      </x:c>
      <x:c r="W46" s="13" t="n">
        <x:v>0.12235054081259594</x:v>
      </x:c>
      <x:c r="X46" s="13" t="n">
        <x:v>0.5953602567194863</x:v>
      </x:c>
      <x:c r="Y46" s="13" t="n">
        <x:v>0.7407401433309437</x:v>
      </x:c>
      <x:c r="Z46" s="13" t="n">
        <x:v>0.11013354074858309</x:v>
      </x:c>
      <x:c r="AA46" s="13" t="n">
        <x:v>0.08459155912798472</x:v>
      </x:c>
      <x:c r="AB46" s="13" t="n">
        <x:v>10.09167351957344</x:v>
      </x:c>
      <x:c r="AC46" s="13" t="n">
        <x:v>0.014334968816257771</x:v>
      </x:c>
    </x:row>
    <x:row r="47">
      <x:c r="A47" s="13" t="str">
        <x:v>300661.SZ</x:v>
      </x:c>
      <x:c r="B47" s="13" t="str">
        <x:v>圣邦股份</x:v>
      </x:c>
      <x:c r="C47" s="13" t="str">
        <x:v>民营企业</x:v>
      </x:c>
      <x:c r="D47" s="13" t="str">
        <x:v>信息技术--半导体--半导体产品--集成电路</x:v>
      </x:c>
      <x:c r="E47" s="13" t="str">
        <x:v>半导体</x:v>
      </x:c>
      <x:c r="F47" s="13" t="n">
        <x:v>11996000</x:v>
      </x:c>
      <x:c r="G47" s="13" t="n">
        <x:v>547060000</x:v>
      </x:c>
      <x:c r="H47" s="13" t="n">
        <x:v>6954150000</x:v>
      </x:c>
      <x:c r="I47" s="13" t="n">
        <x:v>2242000</x:v>
      </x:c>
      <x:c r="J47" s="13" t="n">
        <x:v>500249000</x:v>
      </x:c>
      <x:c r="K47" s="13" t="n">
        <x:v>5771119000</x:v>
      </x:c>
      <x:c r="L47" s="13" t="n">
        <x:v>4706852000</x:v>
      </x:c>
      <x:c r="M47" s="13" t="n">
        <x:v>3690614000</x:v>
      </x:c>
      <x:c r="N47" s="13" t="n">
        <x:v>3346983000</x:v>
      </x:c>
      <x:c r="O47" s="13" t="n">
        <x:v>868870000</x:v>
      </x:c>
      <x:c r="P47" s="13" t="n">
        <x:v>691094000</x:v>
      </x:c>
      <x:c r="Q47" s="13" t="n">
        <x:v>1171859000</x:v>
      </x:c>
      <x:c r="R47" s="13" t="n">
        <x:v>240313000</x:v>
      </x:c>
      <x:c r="S47" s="13" t="n">
        <x:v>0.08039170854813313</x:v>
      </x:c>
      <x:c r="T47" s="13" t="n">
        <x:v>22.476131832805738</x:v>
      </x:c>
      <x:c r="U47" s="13" t="n">
        <x:v>0.058877778820531926</x:v>
      </x:c>
      <x:c r="V47" s="13" t="n">
        <x:v>0.003466592838839478</x:v>
      </x:c>
      <x:c r="W47" s="13" t="n">
        <x:v>0.27301628783410753</x:v>
      </x:c>
      <x:c r="X47" s="13" t="n">
        <x:v>0.6388609016001285</x:v>
      </x:c>
      <x:c r="Y47" s="13" t="n">
        <x:v>0.48894226578935557</x:v>
      </x:c>
      <x:c r="Z47" s="13" t="n">
        <x:v>0.11975043314823347</x:v>
      </x:c>
      <x:c r="AA47" s="13" t="n">
        <x:v>0.20305576786754873</x:v>
      </x:c>
      <x:c r="AB47" s="13" t="n">
        <x:v>4.247602057845247</x:v>
      </x:c>
      <x:c r="AC47" s="13" t="n">
        <x:v>0.041640624634494625</x:v>
      </x:c>
    </x:row>
    <x:row r="48">
      <x:c r="A48" s="13" t="str">
        <x:v>300750.SZ</x:v>
      </x:c>
      <x:c r="B48" s="13" t="str">
        <x:v>宁德时代</x:v>
      </x:c>
      <x:c r="C48" s="13" t="str">
        <x:v>民营企业</x:v>
      </x:c>
      <x:c r="D48" s="13" t="str">
        <x:v>工业--电气设备--电气设备Ⅲ--电气部件与设备</x:v>
      </x:c>
      <x:c r="E48" s="13" t="str">
        <x:v>电气设备</x:v>
      </x:c>
      <x:c r="F48" s="13" t="n">
        <x:v>2734017000</x:v>
      </x:c>
      <x:c r="G48" s="13" t="n">
        <x:v>72201282000</x:v>
      </x:c>
      <x:c r="H48" s="13" t="n">
        <x:v>974827544000</x:v>
      </x:c>
      <x:c r="I48" s="13" t="n">
        <x:v>3879076000</x:v>
      </x:c>
      <x:c r="J48" s="13" t="n">
        <x:v>52032846000</x:v>
      </x:c>
      <x:c r="K48" s="13" t="n">
        <x:v>786658123000</x:v>
      </x:c>
      <x:c r="L48" s="13" t="n">
        <x:v>717168041000</x:v>
      </x:c>
      <x:c r="M48" s="13" t="n">
        <x:v>510142088000</x:v>
      </x:c>
      <x:c r="N48" s="13" t="n">
        <x:v>362012554000</x:v>
      </x:c>
      <x:c r="O48" s="13" t="n">
        <x:v>317171534000</x:v>
      </x:c>
      <x:c r="P48" s="13" t="n">
        <x:v>146937736000</x:v>
      </x:c>
      <x:c r="Q48" s="13" t="n">
        <x:v>513201950000</x:v>
      </x:c>
      <x:c r="R48" s="13" t="n">
        <x:v>31179943000</x:v>
      </x:c>
      <x:c r="S48" s="13" t="n">
        <x:v>0.0768703135864614</x:v>
      </x:c>
      <x:c r="T48" s="13" t="n">
        <x:v>27.39105958564576</x:v>
      </x:c>
      <x:c r="U48" s="13" t="n">
        <x:v>0.3218157174373474</x:v>
      </x:c>
      <x:c r="V48" s="13" t="n">
        <x:v>0.10356535598971461</x:v>
      </x:c>
      <x:c r="W48" s="13" t="n">
        <x:v>0.14616578354193543</x:v>
      </x:c>
      <x:c r="X48" s="13" t="n">
        <x:v>0.48145532065633084</x:v>
      </x:c>
      <x:c r="Y48" s="13" t="n">
        <x:v>0.24530421584421877</x:v>
      </x:c>
      <x:c r="Z48" s="13" t="n">
        <x:v>0.18678728624785332</x:v>
      </x:c>
      <x:c r="AA48" s="13" t="n">
        <x:v>0.6523824454298555</x:v>
      </x:c>
      <x:c r="AB48" s="13" t="n">
        <x:v>1.6084106967808782</x:v>
      </x:c>
      <x:c r="AC48" s="13" t="n">
        <x:v>0.039635951232655106</x:v>
      </x:c>
    </x:row>
    <x:row r="49">
      <x:c r="A49" s="13" t="str">
        <x:v>300759.SZ</x:v>
      </x:c>
      <x:c r="B49" s="13" t="str">
        <x:v>康龙化成</x:v>
      </x:c>
      <x:c r="C49" s="13" t="str">
        <x:v>民营企业</x:v>
      </x:c>
      <x:c r="D49" s="13" t="str">
        <x:v>医疗保健--医药生物--生命科学工具和服务Ⅲ--生命科学工具和服务Ⅳ</x:v>
      </x:c>
      <x:c r="E49" s="13" t="str">
        <x:v>医药生物</x:v>
      </x:c>
      <x:c r="F49" s="13" t="n">
        <x:v>192805000</x:v>
      </x:c>
      <x:c r="G49" s="13" t="n">
        <x:v>1663899000</x:v>
      </x:c>
      <x:c r="H49" s="13" t="n">
        <x:v>27093783000</x:v>
      </x:c>
      <x:c r="I49" s="13" t="n">
        <x:v>243718000</x:v>
      </x:c>
      <x:c r="J49" s="13" t="n">
        <x:v>1793351000</x:v>
      </x:c>
      <x:c r="K49" s="13" t="n">
        <x:v>23927399000</x:v>
      </x:c>
      <x:c r="L49" s="13" t="n">
        <x:v>26476713000</x:v>
      </x:c>
      <x:c r="M49" s="13" t="n">
        <x:v>7608180000</x:v>
      </x:c>
      <x:c r="N49" s="13" t="n">
        <x:v>12275775000</x:v>
      </x:c>
      <x:c r="O49" s="13" t="n">
        <x:v>4224006000</x:v>
      </x:c>
      <x:c r="P49" s="13" t="n">
        <x:v>10740838000</x:v>
      </x:c>
      <x:c r="Q49" s="13" t="n">
        <x:v>9704526000</x:v>
      </x:c>
      <x:c r="R49" s="13" t="n">
        <x:v>2040641000</x:v>
      </x:c>
      <x:c r="S49" s="13" t="n">
        <x:v>0.06852878389112366</x:v>
      </x:c>
      <x:c r="T49" s="13" t="n">
        <x:v>23.8982900409409</x:v>
      </x:c>
      <x:c r="U49" s="13" t="n">
        <x:v>0.059333899321146626</x:v>
      </x:c>
      <x:c r="V49" s="13" t="n">
        <x:v>0.003520511608651964</x:v>
      </x:c>
      <x:c r="W49" s="13" t="n">
        <x:v>0.13623235092080122</x:v>
      </x:c>
      <x:c r="X49" s="13" t="n">
        <x:v>0.4870941878710213</x:v>
      </x:c>
      <x:c r="Y49" s="13" t="n">
        <x:v>0.14143509706174082</x:v>
      </x:c>
      <x:c r="Z49" s="13" t="n">
        <x:v>0.44889283620003995</x:v>
      </x:c>
      <x:c r="AA49" s="13" t="n">
        <x:v>0.4055821529118146</x:v>
      </x:c>
      <x:c r="AB49" s="13" t="n">
        <x:v>1.801176418783496</x:v>
      </x:c>
      <x:c r="AC49" s="13" t="n">
        <x:v>0.08528469809861072</x:v>
      </x:c>
    </x:row>
    <x:row r="50">
      <x:c r="A50" s="13" t="str">
        <x:v>300760.SZ</x:v>
      </x:c>
      <x:c r="B50" s="13" t="str">
        <x:v>迈瑞医疗</x:v>
      </x:c>
      <x:c r="C50" s="13" t="str">
        <x:v>民营企业</x:v>
      </x:c>
      <x:c r="D50" s="13" t="str">
        <x:v>医疗保健--医疗设备与服务--医疗保健设备与用品--医疗保健设备</x:v>
      </x:c>
      <x:c r="E50" s="13" t="str">
        <x:v>医疗设备与服务</x:v>
      </x:c>
      <x:c r="F50" s="13" t="n">
        <x:v>83260000</x:v>
      </x:c>
      <x:c r="G50" s="13" t="n">
        <x:v>8135775000</x:v>
      </x:c>
      <x:c r="H50" s="13" t="n">
        <x:v>59266767000</x:v>
      </x:c>
      <x:c r="I50" s="13" t="n">
        <x:v>87573000</x:v>
      </x:c>
      <x:c r="J50" s="13" t="n">
        <x:v>11668487000</x:v>
      </x:c>
      <x:c r="K50" s="13" t="n">
        <x:v>56643545000</x:v>
      </x:c>
      <x:c r="L50" s="13" t="n">
        <x:v>47940003000</x:v>
      </x:c>
      <x:c r="M50" s="13" t="n">
        <x:v>25646622000</x:v>
      </x:c>
      <x:c r="N50" s="13" t="n">
        <x:v>36725750000</x:v>
      </x:c>
      <x:c r="O50" s="13" t="n">
        <x:v>10427129000</x:v>
      </x:c>
      <x:c r="P50" s="13" t="n">
        <x:v>9814007000</x:v>
      </x:c>
      <x:c r="Q50" s="13" t="n">
        <x:v>15885368000</x:v>
      </x:c>
      <x:c r="R50" s="13" t="n">
        <x:v>1959448000</x:v>
      </x:c>
      <x:c r="S50" s="13" t="n">
        <x:v>0.13867864599396826</x:v>
      </x:c>
      <x:c r="T50" s="13" t="n">
        <x:v>24.760043872650147</x:v>
      </x:c>
      <x:c r="U50" s="13" t="n">
        <x:v>0.32179879473516715</x:v>
      </x:c>
      <x:c r="V50" s="13" t="n">
        <x:v>0.10355446429300624</x:v>
      </x:c>
      <x:c r="W50" s="13" t="n">
        <x:v>0.28019975017592524</x:v>
      </x:c>
      <x:c r="X50" s="13" t="n">
        <x:v>0.7023236580193283</x:v>
      </x:c>
      <x:c r="Y50" s="13" t="n">
        <x:v>0.2686889212177663</x:v>
      </x:c>
      <x:c r="Z50" s="13" t="n">
        <x:v>0.17325905361325813</x:v>
      </x:c>
      <x:c r="AA50" s="13" t="n">
        <x:v>0.28044445311464883</x:v>
      </x:c>
      <x:c r="AB50" s="13" t="n">
        <x:v>2.4596053237664943</x:v>
      </x:c>
      <x:c r="AC50" s="13" t="n">
        <x:v>0.0345926089195159</x:v>
      </x:c>
    </x:row>
    <x:row r="51">
      <x:c r="A51" s="13" t="str">
        <x:v>300782.SZ</x:v>
      </x:c>
      <x:c r="B51" s="13" t="str">
        <x:v>卓胜微</x:v>
      </x:c>
      <x:c r="C51" s="13" t="str">
        <x:v>民营企业</x:v>
      </x:c>
      <x:c r="D51" s="13" t="str">
        <x:v>信息技术--半导体--半导体产品--集成电路</x:v>
      </x:c>
      <x:c r="E51" s="13" t="str">
        <x:v>半导体</x:v>
      </x:c>
      <x:c r="F51" s="13" t="n">
        <x:v>52078551.33</x:v>
      </x:c>
      <x:c r="G51" s="13" t="n">
        <x:v>-292878971.29</x:v>
      </x:c>
      <x:c r="H51" s="13" t="n">
        <x:v>15468761986.78</x:v>
      </x:c>
      <x:c r="I51" s="13" t="n">
        <x:v>21378761.74</x:v>
      </x:c>
      <x:c r="J51" s="13" t="n">
        <x:v>401826648.58</x:v>
      </x:c>
      <x:c r="K51" s="13" t="n">
        <x:v>14232842014.49</x:v>
      </x:c>
      <x:c r="L51" s="13" t="n">
        <x:v>10957700894.9</x:v>
      </x:c>
      <x:c r="M51" s="13" t="n">
        <x:v>5016425768.98</x:v>
      </x:c>
      <x:c r="N51" s="13" t="n">
        <x:v>4470291492.42</x:v>
      </x:c>
      <x:c r="O51" s="13" t="n">
        <x:v>2970571763.46</x:v>
      </x:c>
      <x:c r="P51" s="13" t="n">
        <x:v>8237840796.78</x:v>
      </x:c>
      <x:c r="Q51" s="13" t="n">
        <x:v>4032035044.03</x:v>
      </x:c>
      <x:c r="R51" s="13" t="n">
        <x:v>1868129167.21</x:v>
      </x:c>
      <x:c r="S51" s="13" t="n">
        <x:v>-0.015566883772973831</x:v>
      </x:c>
      <x:c r="T51" s="13" t="n">
        <x:v>23.3788179490288</x:v>
      </x:c>
      <x:c r="U51" s="13" t="n">
        <x:v>0.07863823442007634</x:v>
      </x:c>
      <x:c r="V51" s="13" t="n">
        <x:v>0.006183971912706879</x:v>
      </x:c>
      <x:c r="W51" s="13" t="n">
        <x:v>0.27301628783410753</x:v>
      </x:c>
      <x:c r="X51" s="13" t="n">
        <x:v>0.35491823328298805</x:v>
      </x:c>
      <x:c r="Y51" s="13" t="n">
        <x:v>0.14374177718246162</x:v>
      </x:c>
      <x:c r="Z51" s="13" t="n">
        <x:v>0.5787909953889264</x:v>
      </x:c>
      <x:c r="AA51" s="13" t="n">
        <x:v>0.2832909295223761</x:v>
      </x:c>
      <x:c r="AB51" s="13" t="n">
        <x:v>1.6887071474540216</x:v>
      </x:c>
      <x:c r="AC51" s="13" t="n">
        <x:v>0.1312548235488118</x:v>
      </x:c>
    </x:row>
    <x:row r="52">
      <x:c r="A52" s="13" t="str">
        <x:v>300803.SZ</x:v>
      </x:c>
      <x:c r="B52" s="13" t="str">
        <x:v>指南针</x:v>
      </x:c>
      <x:c r="C52" s="13" t="str">
        <x:v>民营企业</x:v>
      </x:c>
      <x:c r="D52" s="13" t="str">
        <x:v>信息技术--软件服务--软件--应用软件</x:v>
      </x:c>
      <x:c r="E52" s="13" t="str">
        <x:v>软件服务</x:v>
      </x:c>
      <x:c r="F52" s="13" t="n">
        <x:v>28253212</x:v>
      </x:c>
      <x:c r="G52" s="13" t="n">
        <x:v>227916215</x:v>
      </x:c>
      <x:c r="H52" s="13" t="n">
        <x:v>15297047896</x:v>
      </x:c>
      <x:c r="I52" s="13" t="n">
        <x:v>19471381</x:v>
      </x:c>
      <x:c r="J52" s="13" t="n">
        <x:v>104197092</x:v>
      </x:c>
      <x:c r="K52" s="13" t="n">
        <x:v>10873691318</x:v>
      </x:c>
      <x:c r="L52" s="13" t="n">
        <x:v>5430841906</x:v>
      </x:c>
      <x:c r="M52" s="13" t="n">
        <x:v>8618952450</x:v>
      </x:c>
      <x:c r="N52" s="13" t="n">
        <x:v>1197190817</x:v>
      </x:c>
      <x:c r="O52" s="13" t="n">
        <x:v>7847184469</x:v>
      </x:c>
      <x:c r="P52" s="13" t="n">
        <x:v>378752358</x:v>
      </x:c>
      <x:c r="Q52" s="13" t="n">
        <x:v>8647998414</x:v>
      </x:c>
      <x:c r="R52" s="13" t="n">
        <x:v>117983040</x:v>
      </x:c>
      <x:c r="S52" s="13" t="n">
        <x:v>0.016746330974552633</x:v>
      </x:c>
      <x:c r="T52" s="13" t="n">
        <x:v>23.10961206810518</x:v>
      </x:c>
      <x:c r="U52" s="13" t="n">
        <x:v>0.01396319864995031</x:v>
      </x:c>
      <x:c r="V52" s="13" t="n">
        <x:v>0.00019497091653797416</x:v>
      </x:c>
      <x:c r="W52" s="13" t="n">
        <x:v>0.23288063539086398</x:v>
      </x:c>
      <x:c r="X52" s="13" t="n">
        <x:v>0.14685373700091642</x:v>
      </x:c>
      <x:c r="Y52" s="13" t="n">
        <x:v>0.07097571178266181</x:v>
      </x:c>
      <x:c r="Z52" s="13" t="n">
        <x:v>0.03483199466707539</x:v>
      </x:c>
      <x:c r="AA52" s="13" t="n">
        <x:v>0.7953139519129395</x:v>
      </x:c>
      <x:c r="AB52" s="13" t="n">
        <x:v>1.0983496672021462</x:v>
      </x:c>
      <x:c r="AC52" s="13" t="n">
        <x:v>0.010850320884564217</x:v>
      </x:c>
    </x:row>
    <x:row r="53">
      <x:c r="A53" s="13" t="str">
        <x:v>300832.SZ</x:v>
      </x:c>
      <x:c r="B53" s="13" t="str">
        <x:v>新产业</x:v>
      </x:c>
      <x:c r="C53" s="13" t="str">
        <x:v>民营企业</x:v>
      </x:c>
      <x:c r="D53" s="13" t="str">
        <x:v>医疗保健--医疗设备与服务--医疗保健设备与用品--医疗保健设备</x:v>
      </x:c>
      <x:c r="E53" s="13" t="str">
        <x:v>医疗设备与服务</x:v>
      </x:c>
      <x:c r="F53" s="13" t="n">
        <x:v>-18603587.31</x:v>
      </x:c>
      <x:c r="G53" s="13" t="n">
        <x:v>1620252203.02</x:v>
      </x:c>
      <x:c r="H53" s="13" t="n">
        <x:v>9940757976.79</x:v>
      </x:c>
      <x:c r="I53" s="13" t="n">
        <x:v>-34748744.21</x:v>
      </x:c>
      <x:c r="J53" s="13" t="n">
        <x:v>1828456618.27</x:v>
      </x:c>
      <x:c r="K53" s="13" t="n">
        <x:v>9619453527.11</x:v>
      </x:c>
      <x:c r="L53" s="13" t="n">
        <x:v>8222488843.69</x:v>
      </x:c>
      <x:c r="M53" s="13" t="n">
        <x:v>5055963543.09</x:v>
      </x:c>
      <x:c r="N53" s="13" t="n">
        <x:v>4519401590.07</x:v>
      </x:c>
      <x:c r="O53" s="13" t="n">
        <x:v>908743088.57</x:v>
      </x:c>
      <x:c r="P53" s="13" t="n">
        <x:v>1688667656.54</x:v>
      </x:c>
      <x:c r="Q53" s="13" t="n">
        <x:v>1042846052.2</x:v>
      </x:c>
      <x:c r="R53" s="13" t="n">
        <x:v>439197982.33</x:v>
      </x:c>
      <x:c r="S53" s="13" t="n">
        <x:v>0.16111936528880197</x:v>
      </x:c>
      <x:c r="T53" s="13" t="n">
        <x:v>22.98705329409679</x:v>
      </x:c>
      <x:c r="U53" s="13" t="n">
        <x:v>0.039599953291865345</x:v>
      </x:c>
      <x:c r="V53" s="13" t="n">
        <x:v>0.001568156300717917</x:v>
      </x:c>
      <x:c r="W53" s="13" t="n">
        <x:v>0.28019975017592524</x:v>
      </x:c>
      <x:c r="X53" s="13" t="n">
        <x:v>0.5066042133917461</x:v>
      </x:c>
      <x:c r="Y53" s="13" t="n">
        <x:v>0.43112848799904346</x:v>
      </x:c>
      <x:c r="Z53" s="13" t="n">
        <x:v>0.17554715055079964</x:v>
      </x:c>
      <x:c r="AA53" s="13" t="n">
        <x:v>0.10841011386572032</x:v>
      </x:c>
      <x:c r="AB53" s="13" t="n">
        <x:v>5.563688578964682</x:v>
      </x:c>
      <x:c r="AC53" s="13" t="n">
        <x:v>0.04565726952079257</x:v>
      </x:c>
    </x:row>
    <x:row r="54">
      <x:c r="A54" s="13" t="str">
        <x:v>300866.SZ</x:v>
      </x:c>
      <x:c r="B54" s="13" t="str">
        <x:v>安克创新</x:v>
      </x:c>
      <x:c r="C54" s="13" t="str">
        <x:v>民营企业</x:v>
      </x:c>
      <x:c r="D54" s="13" t="str">
        <x:v>信息技术--硬件设备--电子设备、仪器和元件--电子元件</x:v>
      </x:c>
      <x:c r="E54" s="13" t="str">
        <x:v>硬件设备</x:v>
      </x:c>
      <x:c r="F54" s="13" t="n">
        <x:v>52051000</x:v>
      </x:c>
      <x:c r="G54" s="13" t="n">
        <x:v>2545132000</x:v>
      </x:c>
      <x:c r="H54" s="13" t="n">
        <x:v>20066893000</x:v>
      </x:c>
      <x:c r="I54" s="13" t="n">
        <x:v>27760000</x:v>
      </x:c>
      <x:c r="J54" s="13" t="n">
        <x:v>2114430000</x:v>
      </x:c>
      <x:c r="K54" s="13" t="n">
        <x:v>16603708000</x:v>
      </x:c>
      <x:c r="L54" s="13" t="n">
        <x:v>12776703000</x:v>
      </x:c>
      <x:c r="M54" s="13" t="n">
        <x:v>12367550000</x:v>
      </x:c>
      <x:c r="N54" s="13" t="n">
        <x:v>24710080000</x:v>
      </x:c>
      <x:c r="O54" s="13" t="n">
        <x:v>5901512000</x:v>
      </x:c>
      <x:c r="P54" s="13" t="n">
        <x:v>1658585000</x:v>
      </x:c>
      <x:c r="Q54" s="13" t="n">
        <x:v>7459188000</x:v>
      </x:c>
      <x:c r="R54" s="13" t="n">
        <x:v>428882000</x:v>
      </x:c>
      <x:c r="S54" s="13" t="n">
        <x:v>0.1294262644446253</x:v>
      </x:c>
      <x:c r="T54" s="13" t="n">
        <x:v>23.53289188085874</x:v>
      </x:c>
      <x:c r="U54" s="13" t="n">
        <x:v>0.05009765024562846</x:v>
      </x:c>
      <x:c r="V54" s="13" t="n">
        <x:v>0.0025097745601333175</x:v>
      </x:c>
      <x:c r="W54" s="13" t="n">
        <x:v>0.12235054081259594</x:v>
      </x:c>
      <x:c r="X54" s="13" t="n">
        <x:v>1.68207857949979</x:v>
      </x:c>
      <x:c r="Y54" s="13" t="n">
        <x:v>0.3894333723527299</x:v>
      </x:c>
      <x:c r="Z54" s="13" t="n">
        <x:v>0.0998924457115242</x:v>
      </x:c>
      <x:c r="AA54" s="13" t="n">
        <x:v>0.44924832453088187</x:v>
      </x:c>
      <x:c r="AB54" s="13" t="n">
        <x:v>2.0956578585284587</x:v>
      </x:c>
      <x:c r="AC54" s="13" t="n">
        <x:v>0.02583049521227427</x:v>
      </x:c>
    </x:row>
    <x:row r="55">
      <x:c r="A55" s="13" t="str">
        <x:v>300896.SZ</x:v>
      </x:c>
      <x:c r="B55" s="13" t="str">
        <x:v>爱美客</x:v>
      </x:c>
      <x:c r="C55" s="13" t="str">
        <x:v>民营企业</x:v>
      </x:c>
      <x:c r="D55" s="13" t="str">
        <x:v>医疗保健--医药生物--生物科技Ⅲ--生物科技Ⅳ</x:v>
      </x:c>
      <x:c r="E55" s="13" t="str">
        <x:v>医药生物</x:v>
      </x:c>
      <x:c r="F55" s="13" t="n">
        <x:v>7502332.93</x:v>
      </x:c>
      <x:c r="G55" s="13" t="n">
        <x:v>1291017682.24</x:v>
      </x:c>
      <x:c r="H55" s="13" t="n">
        <x:v>8908047716.98</x:v>
      </x:c>
      <x:c r="I55" s="13" t="n">
        <x:v>-31276290.06</x:v>
      </x:c>
      <x:c r="J55" s="13" t="n">
        <x:v>1957596837.74</x:v>
      </x:c>
      <x:c r="K55" s="13" t="n">
        <x:v>8340486256.64</x:v>
      </x:c>
      <x:c r="L55" s="13" t="n">
        <x:v>6852360636.01</x:v>
      </x:c>
      <x:c r="M55" s="13" t="n">
        <x:v>5045159392.48</x:v>
      </x:c>
      <x:c r="N55" s="13" t="n">
        <x:v>3005648760.38</x:v>
      </x:c>
      <x:c r="O55" s="13" t="n">
        <x:v>343912196.01</x:v>
      </x:c>
      <x:c r="P55" s="13" t="n">
        <x:v>479735485.72</x:v>
      </x:c>
      <x:c r="Q55" s="13" t="n">
        <x:v>390369243.72</x:v>
      </x:c>
      <x:c r="R55" s="13" t="n">
        <x:v>239244840.24</x:v>
      </x:c>
      <x:c r="S55" s="13" t="n">
        <x:v>0.14576931516597483</x:v>
      </x:c>
      <x:c r="T55" s="13" t="n">
        <x:v>22.844387355770923</x:v>
      </x:c>
      <x:c r="U55" s="13" t="n">
        <x:v>0.01452754395898557</x:v>
      </x:c>
      <x:c r="V55" s="13" t="n">
        <x:v>0.00021104953348025814</x:v>
      </x:c>
      <x:c r="W55" s="13" t="n">
        <x:v>0.13623235092080122</x:v>
      </x:c>
      <x:c r="X55" s="13" t="n">
        <x:v>0.3956663002816244</x:v>
      </x:c>
      <x:c r="Y55" s="13" t="n">
        <x:v>0.5636658405530323</x:v>
      </x:c>
      <x:c r="Z55" s="13" t="n">
        <x:v>0.057518886903994905</x:v>
      </x:c>
      <x:c r="AA55" s="13" t="n">
        <x:v>0.04680413487993228</x:v>
      </x:c>
      <x:c r="AB55" s="13" t="n">
        <x:v>14.669905432296156</x:v>
      </x:c>
      <x:c r="AC55" s="13" t="n">
        <x:v>0.028684759242847885</x:v>
      </x:c>
    </x:row>
    <x:row r="56">
      <x:c r="A56" s="13" t="str">
        <x:v>301236.SZ</x:v>
      </x:c>
      <x:c r="B56" s="13" t="str">
        <x:v>软通动力</x:v>
      </x:c>
      <x:c r="C56" s="13" t="str">
        <x:v>民营企业</x:v>
      </x:c>
      <x:c r="D56" s="13" t="str">
        <x:v>信息技术--软件服务--信息技术服务--信息科技咨询与其它服务</x:v>
      </x:c>
      <x:c r="E56" s="13" t="str">
        <x:v>软件服务</x:v>
      </x:c>
      <x:c r="F56" s="13" t="n">
        <x:v>148030242.11</x:v>
      </x:c>
      <x:c r="G56" s="13" t="n">
        <x:v>206113321.54</x:v>
      </x:c>
      <x:c r="H56" s="13" t="n">
        <x:v>27413795767.81</x:v>
      </x:c>
      <x:c r="I56" s="13" t="n">
        <x:v>123632395.69</x:v>
      </x:c>
      <x:c r="J56" s="13" t="n">
        <x:v>180378471.38</x:v>
      </x:c>
      <x:c r="K56" s="13" t="n">
        <x:v>23181406235.97</x:v>
      </x:c>
      <x:c r="L56" s="13" t="n">
        <x:v>15617529162.45</x:v>
      </x:c>
      <x:c r="M56" s="13" t="n">
        <x:v>18913450563.62</x:v>
      </x:c>
      <x:c r="N56" s="13" t="n">
        <x:v>31168612895.05</x:v>
      </x:c>
      <x:c r="O56" s="13" t="n">
        <x:v>10004590978.43</x:v>
      </x:c>
      <x:c r="P56" s="13" t="n">
        <x:v>1288821134.23</x:v>
      </x:c>
      <x:c r="Q56" s="13" t="n">
        <x:v>12515729186.38</x:v>
      </x:c>
      <x:c r="R56" s="13" t="n">
        <x:v>691615293.96</x:v>
      </x:c>
      <x:c r="S56" s="13" t="n">
        <x:v>0.012918443204638032</x:v>
      </x:c>
      <x:c r="T56" s="13" t="n">
        <x:v>23.866616338935515</x:v>
      </x:c>
      <x:c r="U56" s="13" t="n">
        <x:v>0.36352896072789204</x:v>
      </x:c>
      <x:c r="V56" s="13" t="n">
        <x:v>0.13215330528790126</x:v>
      </x:c>
      <x:c r="W56" s="13" t="n">
        <x:v>0.23288063539086398</x:v>
      </x:c>
      <x:c r="X56" s="13" t="n">
        <x:v>1.606673614880643</x:v>
      </x:c>
      <x:c r="Y56" s="13" t="n">
        <x:v>0.3843105760929355</x:v>
      </x:c>
      <x:c r="Z56" s="13" t="n">
        <x:v>0.05559719376429239</x:v>
      </x:c>
      <x:c r="AA56" s="13" t="n">
        <x:v>0.539903794402242</x:v>
      </x:c>
      <x:c r="AB56" s="13" t="n">
        <x:v>1.8904771423836906</x:v>
      </x:c>
      <x:c r="AC56" s="13" t="n">
        <x:v>0.02983491540245035</x:v>
      </x:c>
    </x:row>
    <x:row r="57">
      <x:c r="A57" s="13" t="str">
        <x:v>600031.SH</x:v>
      </x:c>
      <x:c r="B57" s="13" t="str">
        <x:v>三一重工</x:v>
      </x:c>
      <x:c r="C57" s="13" t="str">
        <x:v>民营企业</x:v>
      </x:c>
      <x:c r="D57" s="13" t="str">
        <x:v>工业--机械--机械Ⅲ--建筑机械与重型卡车</x:v>
      </x:c>
      <x:c r="E57" s="13" t="str">
        <x:v>机械</x:v>
      </x:c>
      <x:c r="F57" s="13" t="n">
        <x:v>568877000</x:v>
      </x:c>
      <x:c r="G57" s="13" t="n">
        <x:v>8408057000</x:v>
      </x:c>
      <x:c r="H57" s="13" t="n">
        <x:v>173299138000</x:v>
      </x:c>
      <x:c r="I57" s="13" t="n">
        <x:v>845080000</x:v>
      </x:c>
      <x:c r="J57" s="13" t="n">
        <x:v>5975451000</x:v>
      </x:c>
      <x:c r="K57" s="13" t="n">
        <x:v>152145076000</x:v>
      </x:c>
      <x:c r="L57" s="13" t="n">
        <x:v>151203358000</x:v>
      </x:c>
      <x:c r="M57" s="13" t="n">
        <x:v>101505319000</x:v>
      </x:c>
      <x:c r="N57" s="13" t="n">
        <x:v>78383379000</x:v>
      </x:c>
      <x:c r="O57" s="13" t="n">
        <x:v>63669228000</x:v>
      </x:c>
      <x:c r="P57" s="13" t="n">
        <x:v>23686341000</x:v>
      </x:c>
      <x:c r="Q57" s="13" t="n">
        <x:v>79143477000</x:v>
      </x:c>
      <x:c r="R57" s="13" t="n">
        <x:v>2938287000</x:v>
      </x:c>
      <x:c r="S57" s="13" t="n">
        <x:v>0.051800223034000316</x:v>
      </x:c>
      <x:c r="T57" s="13" t="n">
        <x:v>25.748100349965835</x:v>
      </x:c>
      <x:c r="U57" s="13" t="n">
        <x:v>0.6778798107971808</x:v>
      </x:c>
      <x:c r="V57" s="13" t="n">
        <x:v>0.4595210378864217</x:v>
      </x:c>
      <x:c r="W57" s="13" t="n">
        <x:v>0.5244055085518771</x:v>
      </x:c>
      <x:c r="X57" s="13" t="n">
        <x:v>0.51678776096797</x:v>
      </x:c>
      <x:c r="Y57" s="13" t="n">
        <x:v>0.2486842952446256</x:v>
      </x:c>
      <x:c r="Z57" s="13" t="n">
        <x:v>0.15568259994165043</x:v>
      </x:c>
      <x:c r="AA57" s="13" t="n">
        <x:v>0.5201842812185391</x:v>
      </x:c>
      <x:c r="AB57" s="13" t="n">
        <x:v>1.5942602445250318</x:v>
      </x:c>
      <x:c r="AC57" s="13" t="n">
        <x:v>0.01931240285423368</x:v>
      </x:c>
    </x:row>
    <x:row r="58">
      <x:c r="A58" s="13" t="str">
        <x:v>600066.SH</x:v>
      </x:c>
      <x:c r="B58" s="13" t="str">
        <x:v>宇通客车</x:v>
      </x:c>
      <x:c r="C58" s="13" t="str">
        <x:v>民营企业</x:v>
      </x:c>
      <x:c r="D58" s="13" t="str">
        <x:v>可选消费--汽车与零配件--汽车--汽车制造</x:v>
      </x:c>
      <x:c r="E58" s="13" t="str">
        <x:v>汽车与零配件</x:v>
      </x:c>
      <x:c r="F58" s="13" t="n">
        <x:v>42142501.83</x:v>
      </x:c>
      <x:c r="G58" s="13" t="n">
        <x:v>5554481970.9</x:v>
      </x:c>
      <x:c r="H58" s="13" t="n">
        <x:v>32990246148.33</x:v>
      </x:c>
      <x:c r="I58" s="13" t="n">
        <x:v>-98391390.33</x:v>
      </x:c>
      <x:c r="J58" s="13" t="n">
        <x:v>4116194422.5</x:v>
      </x:c>
      <x:c r="K58" s="13" t="n">
        <x:v>32150894481.86</x:v>
      </x:c>
      <x:c r="L58" s="13" t="n">
        <x:v>30856955973.42</x:v>
      </x:c>
      <x:c r="M58" s="13" t="n">
        <x:v>21031107509.19</x:v>
      </x:c>
      <x:c r="N58" s="13" t="n">
        <x:v>36767928693.66</x:v>
      </x:c>
      <x:c r="O58" s="13" t="n">
        <x:v>14489218998.5</x:v>
      </x:c>
      <x:c r="P58" s="13" t="n">
        <x:v>3802173072.54</x:v>
      </x:c>
      <x:c r="Q58" s="13" t="n">
        <x:v>18493383044.78</x:v>
      </x:c>
      <x:c r="R58" s="13" t="n">
        <x:v>695759304.83</x:v>
      </x:c>
      <x:c r="S58" s="13" t="n">
        <x:v>0.16964482312640478</x:v>
      </x:c>
      <x:c r="T58" s="13" t="n">
        <x:v>24.193706109384845</x:v>
      </x:c>
      <x:c r="U58" s="13" t="n">
        <x:v>0.03082302957797348</x:v>
      </x:c>
      <x:c r="V58" s="13" t="n">
        <x:v>0.000950059152364628</x:v>
      </x:c>
      <x:c r="W58" s="13" t="n">
        <x:v>0.4695797494099714</x:v>
      </x:c>
      <x:c r="X58" s="13" t="n">
        <x:v>1.167090399941707</x:v>
      </x:c>
      <x:c r="Y58" s="13" t="n">
        <x:v>0.20347454141224677</x:v>
      </x:c>
      <x:c r="Z58" s="13" t="n">
        <x:v>0.11826025788132398</x:v>
      </x:c>
      <x:c r="AA58" s="13" t="n">
        <x:v>0.5752058641856522</x:v>
      </x:c>
      <x:c r="AB58" s="13" t="n">
        <x:v>1.4515004232710713</x:v>
      </x:c>
      <x:c r="AC58" s="13" t="n">
        <x:v>0.021640433836842627</x:v>
      </x:c>
    </x:row>
    <x:row r="59">
      <x:c r="A59" s="13" t="str">
        <x:v>600089.SH</x:v>
      </x:c>
      <x:c r="B59" s="13" t="str">
        <x:v>特变电工</x:v>
      </x:c>
      <x:c r="C59" s="13" t="str">
        <x:v>民营企业</x:v>
      </x:c>
      <x:c r="D59" s="13" t="str">
        <x:v>工业--电气设备--电气设备Ⅲ--电气部件与设备</x:v>
      </x:c>
      <x:c r="E59" s="13" t="str">
        <x:v>电气设备</x:v>
      </x:c>
      <x:c r="F59" s="13" t="n">
        <x:v>1564402831.35</x:v>
      </x:c>
      <x:c r="G59" s="13" t="n">
        <x:v>5954294958.25</x:v>
      </x:c>
      <x:c r="H59" s="13" t="n">
        <x:v>227150381638.59</x:v>
      </x:c>
      <x:c r="I59" s="13" t="n">
        <x:v>1430662105.08</x:v>
      </x:c>
      <x:c r="J59" s="13" t="n">
        <x:v>4134755516.65</x:v>
      </x:c>
      <x:c r="K59" s="13" t="n">
        <x:v>207623323093.84</x:v>
      </x:c>
      <x:c r="L59" s="13" t="n">
        <x:v>191898316218.61</x:v>
      </x:c>
      <x:c r="M59" s="13" t="n">
        <x:v>83854019083.61</x:v>
      </x:c>
      <x:c r="N59" s="13" t="n">
        <x:v>96241552725.65</x:v>
      </x:c>
      <x:c r="O59" s="13" t="n">
        <x:v>73132898485.19</x:v>
      </x:c>
      <x:c r="P59" s="13" t="n">
        <x:v>96275883419.07</x:v>
      </x:c>
      <x:c r="Q59" s="13" t="n">
        <x:v>117580171565.97</x:v>
      </x:c>
      <x:c r="R59" s="13" t="n">
        <x:v>16957377752.13</x:v>
      </x:c>
      <x:c r="S59" s="13" t="n">
        <x:v>0.03310008874016643</x:v>
      </x:c>
      <x:c r="T59" s="13" t="n">
        <x:v>26.058991328237212</x:v>
      </x:c>
      <x:c r="U59" s="13" t="n">
        <x:v>0.08555516651416831</x:v>
      </x:c>
      <x:c r="V59" s="13" t="n">
        <x:v>0.007319686517267066</x:v>
      </x:c>
      <x:c r="W59" s="13" t="n">
        <x:v>0.14616578354193543</x:v>
      </x:c>
      <x:c r="X59" s="13" t="n">
        <x:v>0.48178392985809365</x:v>
      </x:c>
      <x:c r="Y59" s="13" t="n">
        <x:v>0.05163736153849319</x:v>
      </x:c>
      <x:c r="Z59" s="13" t="n">
        <x:v>0.4637045683714251</x:v>
      </x:c>
      <x:c r="AA59" s="13" t="n">
        <x:v>0.5663148523676553</x:v>
      </x:c>
      <x:c r="AB59" s="13" t="n">
        <x:v>1.14659778048577</x:v>
      </x:c>
      <x:c r="AC59" s="13" t="n">
        <x:v>0.08167376140331659</x:v>
      </x:c>
    </x:row>
    <x:row r="60">
      <x:c r="A60" s="13" t="str">
        <x:v>600196.SH</x:v>
      </x:c>
      <x:c r="B60" s="13" t="str">
        <x:v>复星医药</x:v>
      </x:c>
      <x:c r="C60" s="13" t="str">
        <x:v>民营企业</x:v>
      </x:c>
      <x:c r="D60" s="13" t="str">
        <x:v>医疗保健--医药生物--制药--西药</x:v>
      </x:c>
      <x:c r="E60" s="13" t="str">
        <x:v>医药生物</x:v>
      </x:c>
      <x:c r="F60" s="13" t="n">
        <x:v>1265351000</x:v>
      </x:c>
      <x:c r="G60" s="13" t="n">
        <x:v>3370562000</x:v>
      </x:c>
      <x:c r="H60" s="13" t="n">
        <x:v>120015592000</x:v>
      </x:c>
      <x:c r="I60" s="13" t="n">
        <x:v>1431915000</x:v>
      </x:c>
      <x:c r="J60" s="13" t="n">
        <x:v>2769886000</x:v>
      </x:c>
      <x:c r="K60" s="13" t="n">
        <x:v>117422190000</x:v>
      </x:c>
      <x:c r="L60" s="13" t="n">
        <x:v>113431227000</x:v>
      </x:c>
      <x:c r="M60" s="13" t="n">
        <x:v>34491060000</x:v>
      </x:c>
      <x:c r="N60" s="13" t="n">
        <x:v>40909878000</x:v>
      </x:c>
      <x:c r="O60" s="13" t="n">
        <x:v>37452669000</x:v>
      </x:c>
      <x:c r="P60" s="13" t="n">
        <x:v>22001615000</x:v>
      </x:c>
      <x:c r="Q60" s="13" t="n">
        <x:v>57526838000</x:v>
      </x:c>
      <x:c r="R60" s="13" t="n">
        <x:v>4410191000</x:v>
      </x:c>
      <x:c r="S60" s="13" t="n">
        <x:v>0.038627589321894105</x:v>
      </x:c>
      <x:c r="T60" s="13" t="n">
        <x:v>25.489041738404946</x:v>
      </x:c>
      <x:c r="U60" s="13" t="n">
        <x:v>0.1977343656504287</x:v>
      </x:c>
      <x:c r="V60" s="13" t="n">
        <x:v>0.03909887935917744</x:v>
      </x:c>
      <x:c r="W60" s="13" t="n">
        <x:v>0.13623235092080122</x:v>
      </x:c>
      <x:c r="X60" s="13" t="n">
        <x:v>0.3544229800159293</x:v>
      </x:c>
      <x:c r="Y60" s="13" t="n">
        <x:v>-0.02522188523310628</x:v>
      </x:c>
      <x:c r="Z60" s="13" t="n">
        <x:v>0.18737186727653435</x:v>
      </x:c>
      <x:c r="AA60" s="13" t="n">
        <x:v>0.48991453829978815</x:v>
      </x:c>
      <x:c r="AB60" s="13" t="n">
        <x:v>0.9209239533769943</x:v>
      </x:c>
      <x:c r="AC60" s="13" t="n">
        <x:v>0.037558412085484015</x:v>
      </x:c>
    </x:row>
    <x:row r="61">
      <x:c r="A61" s="13" t="str">
        <x:v>600233.SH</x:v>
      </x:c>
      <x:c r="B61" s="13" t="str">
        <x:v>圆通速递</x:v>
      </x:c>
      <x:c r="C61" s="13" t="str">
        <x:v>民营企业</x:v>
      </x:c>
      <x:c r="D61" s="13" t="str">
        <x:v>工业--交通运输--航空运输--航空货运与物流</x:v>
      </x:c>
      <x:c r="E61" s="13" t="str">
        <x:v>交通运输</x:v>
      </x:c>
      <x:c r="F61" s="13" t="n">
        <x:v>46201941.55</x:v>
      </x:c>
      <x:c r="G61" s="13" t="n">
        <x:v>4322350576.04</x:v>
      </x:c>
      <x:c r="H61" s="13" t="n">
        <x:v>54177859555.9</x:v>
      </x:c>
      <x:c r="I61" s="13" t="n">
        <x:v>120206387.52</x:v>
      </x:c>
      <x:c r="J61" s="13" t="n">
        <x:v>4012333934.96</x:v>
      </x:c>
      <x:c r="K61" s="13" t="n">
        <x:v>48294063910</x:v>
      </x:c>
      <x:c r="L61" s="13" t="n">
        <x:v>43367039940.92</x:v>
      </x:c>
      <x:c r="M61" s="13" t="n">
        <x:v>15238484896</x:v>
      </x:c>
      <x:c r="N61" s="13" t="n">
        <x:v>68774014137.86</x:v>
      </x:c>
      <x:c r="O61" s="13" t="n">
        <x:v>13754946715.12</x:v>
      </x:c>
      <x:c r="P61" s="13" t="n">
        <x:v>23539630718.97</x:v>
      </x:c>
      <x:c r="Q61" s="13" t="n">
        <x:v>16085981310.78</x:v>
      </x:c>
      <x:c r="R61" s="13" t="n">
        <x:v>6768343060.85</x:v>
      </x:c>
      <x:c r="S61" s="13" t="n">
        <x:v>0.08063353837525798</x:v>
      </x:c>
      <x:c r="T61" s="13" t="n">
        <x:v>24.600574489637985</x:v>
      </x:c>
      <x:c r="U61" s="13" t="n">
        <x:v>0.18430383484706714</x:v>
      </x:c>
      <x:c r="V61" s="13" t="n">
        <x:v>0.033967903539335</x:v>
      </x:c>
      <x:c r="W61" s="13" t="n">
        <x:v>0.6177817572282329</x:v>
      </x:c>
      <x:c r="X61" s="13" t="n">
        <x:v>1.5006150100421187</x:v>
      </x:c>
      <x:c r="Y61" s="13" t="n">
        <x:v>0.030718851568273395</x:v>
      </x:c>
      <x:c r="Z61" s="13" t="n">
        <x:v>0.4874228593153407</x:v>
      </x:c>
      <x:c r="AA61" s="13" t="n">
        <x:v>0.33308402748539784</x:v>
      </x:c>
      <x:c r="AB61" s="13" t="n">
        <x:v>1.1078548838905522</x:v>
      </x:c>
      <x:c r="AC61" s="13" t="n">
        <x:v>0.14014855062649872</x:v>
      </x:c>
    </x:row>
    <x:row r="62">
      <x:c r="A62" s="13" t="str">
        <x:v>600276.SH</x:v>
      </x:c>
      <x:c r="B62" s="13" t="str">
        <x:v>恒瑞医药</x:v>
      </x:c>
      <x:c r="C62" s="13" t="str">
        <x:v>民营企业</x:v>
      </x:c>
      <x:c r="D62" s="13" t="str">
        <x:v>医疗保健--医药生物--制药--西药</x:v>
      </x:c>
      <x:c r="E62" s="13" t="str">
        <x:v>医药生物</x:v>
      </x:c>
      <x:c r="F62" s="13" t="n">
        <x:v>14349000</x:v>
      </x:c>
      <x:c r="G62" s="13" t="n">
        <x:v>7711055000</x:v>
      </x:c>
      <x:c r="H62" s="13" t="n">
        <x:v>69867316000</x:v>
      </x:c>
      <x:c r="I62" s="13" t="n">
        <x:v>5559000</x:v>
      </x:c>
      <x:c r="J62" s="13" t="n">
        <x:v>6336527000</x:v>
      </x:c>
      <x:c r="K62" s="13" t="n">
        <x:v>50135644000</x:v>
      </x:c>
      <x:c r="L62" s="13" t="n">
        <x:v>43784507000</x:v>
      </x:c>
      <x:c r="M62" s="13" t="n">
        <x:v>35314927000</x:v>
      </x:c>
      <x:c r="N62" s="13" t="n">
        <x:v>27984605000</x:v>
      </x:c>
      <x:c r="O62" s="13" t="n">
        <x:v>3633595000</x:v>
      </x:c>
      <x:c r="P62" s="13" t="n">
        <x:v>7094142000</x:v>
      </x:c>
      <x:c r="Q62" s="13" t="n">
        <x:v>4045393000</x:v>
      </x:c>
      <x:c r="R62" s="13" t="n">
        <x:v>1969198000</x:v>
      </x:c>
      <x:c r="S62" s="13" t="n">
        <x:v>0.11057250288532623</x:v>
      </x:c>
      <x:c r="T62" s="13" t="n">
        <x:v>24.637998049157442</x:v>
      </x:c>
      <x:c r="U62" s="13" t="n">
        <x:v>0.13526117378430744</x:v>
      </x:c>
      <x:c r="V62" s="13" t="n">
        <x:v>0.018295585133508617</x:v>
      </x:c>
      <x:c r="W62" s="13" t="n">
        <x:v>0.13623235092080122</x:v>
      </x:c>
      <x:c r="X62" s="13" t="n">
        <x:v>0.595923339177766</x:v>
      </x:c>
      <x:c r="Y62" s="13" t="n">
        <x:v>0.631912337657416</x:v>
      </x:c>
      <x:c r="Z62" s="13" t="n">
        <x:v>0.14149897027352437</x:v>
      </x:c>
      <x:c r="AA62" s="13" t="n">
        <x:v>0.08068896053274992</x:v>
      </x:c>
      <x:c r="AB62" s="13" t="n">
        <x:v>9.719004732228</x:v>
      </x:c>
      <x:c r="AC62" s="13" t="n">
        <x:v>0.03927740511321646</x:v>
      </x:c>
    </x:row>
    <x:row r="63">
      <x:c r="A63" s="13" t="str">
        <x:v>600346.SH</x:v>
      </x:c>
      <x:c r="B63" s="13" t="str">
        <x:v>恒力石化</x:v>
      </x:c>
      <x:c r="C63" s="13" t="str">
        <x:v>民营企业</x:v>
      </x:c>
      <x:c r="D63" s="13" t="str">
        <x:v>能源--石油石化--石油天然气--石油天然气炼制和销售</x:v>
      </x:c>
      <x:c r="E63" s="13" t="str">
        <x:v>石油石化</x:v>
      </x:c>
      <x:c r="F63" s="13" t="n">
        <x:v>4383391966</x:v>
      </x:c>
      <x:c r="G63" s="13" t="n">
        <x:v>7074582387.53</x:v>
      </x:c>
      <x:c r="H63" s="13" t="n">
        <x:v>262258989534.38</x:v>
      </x:c>
      <x:c r="I63" s="13" t="n">
        <x:v>5233634108.25</x:v>
      </x:c>
      <x:c r="J63" s="13" t="n">
        <x:v>7043568223.6</x:v>
      </x:c>
      <x:c r="K63" s="13" t="n">
        <x:v>273082869863.4</x:v>
      </x:c>
      <x:c r="L63" s="13" t="n">
        <x:v>260599020914.55</x:v>
      </x:c>
      <x:c r="M63" s="13" t="n">
        <x:v>73269556146.66</x:v>
      </x:c>
      <x:c r="N63" s="13" t="n">
        <x:v>229849668623.04</x:v>
      </x:c>
      <x:c r="O63" s="13" t="n">
        <x:v>130879306067.05</x:v>
      </x:c>
      <x:c r="P63" s="13" t="n">
        <x:v>185402272543.31</x:v>
      </x:c>
      <x:c r="Q63" s="13" t="n">
        <x:v>209665307046.16</x:v>
      </x:c>
      <x:c r="R63" s="13" t="n">
        <x:v>21814133827.51</x:v>
      </x:c>
      <x:c r="S63" s="13" t="n">
        <x:v>0.04368953900826325</x:v>
      </x:c>
      <x:c r="T63" s="13" t="n">
        <x:v>26.333041138681786</x:v>
      </x:c>
      <x:c r="U63" s="13" t="n">
        <x:v>1</x:v>
      </x:c>
      <x:c r="V63" s="13" t="n">
        <x:v>1</x:v>
      </x:c>
      <x:c r="W63" s="13" t="n">
        <x:v>1</x:v>
      </x:c>
      <x:c r="X63" s="13" t="n">
        <x:v>0.8613733109361734</x:v>
      </x:c>
      <x:c r="Y63" s="13" t="n">
        <x:v>-0.21096068731519935</x:v>
      </x:c>
      <x:c r="Z63" s="13" t="n">
        <x:v>0.6789231145697674</x:v>
      </x:c>
      <x:c r="AA63" s="13" t="n">
        <x:v>0.7677717286003243</x:v>
      </x:c>
      <x:c r="AB63" s="13" t="n">
        <x:v>0.5598253715459319</x:v>
      </x:c>
      <x:c r="AC63" s="13" t="n">
        <x:v>0.07988100402790459</x:v>
      </x:c>
    </x:row>
    <x:row r="64">
      <x:c r="A64" s="13" t="str">
        <x:v>600438.SH</x:v>
      </x:c>
      <x:c r="B64" s="13" t="str">
        <x:v>通威股份</x:v>
      </x:c>
      <x:c r="C64" s="13" t="str">
        <x:v>民营企业</x:v>
      </x:c>
      <x:c r="D64" s="13" t="str">
        <x:v>工业--电气设备--电气设备Ⅲ--光伏设备</x:v>
      </x:c>
      <x:c r="E64" s="13" t="str">
        <x:v>电气设备</x:v>
      </x:c>
      <x:c r="F64" s="13" t="n">
        <x:v>2717686625.59</x:v>
      </x:c>
      <x:c r="G64" s="13" t="n">
        <x:v>-9553425884.06</x:v>
      </x:c>
      <x:c r="H64" s="13" t="n">
        <x:v>187779256397.63</x:v>
      </x:c>
      <x:c r="I64" s="13" t="n">
        <x:v>2002478504.24</x:v>
      </x:c>
      <x:c r="J64" s="13" t="n">
        <x:v>-7038757392.54</x:v>
      </x:c>
      <x:c r="K64" s="13" t="n">
        <x:v>195916763061.99</x:v>
      </x:c>
      <x:c r="L64" s="13" t="n">
        <x:v>164363161459.66</x:v>
      </x:c>
      <x:c r="M64" s="13" t="n">
        <x:v>66192918621.75</x:v>
      </x:c>
      <x:c r="N64" s="13" t="n">
        <x:v>91551949878.92</x:v>
      </x:c>
      <x:c r="O64" s="13" t="n">
        <x:v>56538075361.44</x:v>
      </x:c>
      <x:c r="P64" s="13" t="n">
        <x:v>107275734799.87</x:v>
      </x:c>
      <x:c r="Q64" s="13" t="n">
        <x:v>137997611563.26</x:v>
      </x:c>
      <x:c r="R64" s="13" t="n">
        <x:v>28388183026.94</x:v>
      </x:c>
      <x:c r="S64" s="13" t="n">
        <x:v>-0.03640305851459466</x:v>
      </x:c>
      <x:c r="T64" s="13" t="n">
        <x:v>26.000955727720427</x:v>
      </x:c>
      <x:c r="U64" s="13" t="n">
        <x:v>0.08138628372836128</x:v>
      </x:c>
      <x:c r="V64" s="13" t="n">
        <x:v>0.006623727179113323</x:v>
      </x:c>
      <x:c r="W64" s="13" t="n">
        <x:v>0.14616578354193543</x:v>
      </x:c>
      <x:c r="X64" s="13" t="n">
        <x:v>0.5082267628454465</x:v>
      </x:c>
      <x:c r="Y64" s="13" t="n">
        <x:v>0.04928033267503052</x:v>
      </x:c>
      <x:c r="Z64" s="13" t="n">
        <x:v>0.5475577134046814</x:v>
      </x:c>
      <x:c r="AA64" s="13" t="n">
        <x:v>0.7043685767694937</x:v>
      </x:c>
      <x:c r="AB64" s="13" t="n">
        <x:v>1.1707671016140528</x:v>
      </x:c>
      <x:c r="AC64" s="13" t="n">
        <x:v>0.14489920404594323</x:v>
      </x:c>
    </x:row>
    <x:row r="65">
      <x:c r="A65" s="13" t="str">
        <x:v>600460.SH</x:v>
      </x:c>
      <x:c r="B65" s="13" t="str">
        <x:v>士兰微</x:v>
      </x:c>
      <x:c r="C65" s="13" t="str">
        <x:v>民营企业</x:v>
      </x:c>
      <x:c r="D65" s="13" t="str">
        <x:v>信息技术--半导体--半导体产品--分立器件</x:v>
      </x:c>
      <x:c r="E65" s="13" t="str">
        <x:v>半导体</x:v>
      </x:c>
      <x:c r="F65" s="13" t="n">
        <x:v>193368396.4</x:v>
      </x:c>
      <x:c r="G65" s="13" t="n">
        <x:v>398550840.03</x:v>
      </x:c>
      <x:c r="H65" s="13" t="n">
        <x:v>26768101138.87</x:v>
      </x:c>
      <x:c r="I65" s="13" t="n">
        <x:v>201965644.62</x:v>
      </x:c>
      <x:c r="J65" s="13" t="n">
        <x:v>219867848.47</x:v>
      </x:c>
      <x:c r="K65" s="13" t="n">
        <x:v>24796971085.75</x:v>
      </x:c>
      <x:c r="L65" s="13" t="n">
        <x:v>23907585687.76</x:v>
      </x:c>
      <x:c r="M65" s="13" t="n">
        <x:v>13351023940.07</x:v>
      </x:c>
      <x:c r="N65" s="13" t="n">
        <x:v>11168154320.14</x:v>
      </x:c>
      <x:c r="O65" s="13" t="n">
        <x:v>7184827200.73</x:v>
      </x:c>
      <x:c r="P65" s="13" t="n">
        <x:v>8676675543.13</x:v>
      </x:c>
      <x:c r="Q65" s="13" t="n">
        <x:v>10973389039.13</x:v>
      </x:c>
      <x:c r="R65" s="13" t="n">
        <x:v>1681179247.18</x:v>
      </x:c>
      <x:c r="S65" s="13" t="n">
        <x:v>0.022112858635701775</x:v>
      </x:c>
      <x:c r="T65" s="13" t="n">
        <x:v>23.933987349019315</x:v>
      </x:c>
      <x:c r="U65" s="13" t="n">
        <x:v>0.19646234232285345</x:v>
      </x:c>
      <x:c r="V65" s="13" t="n">
        <x:v>0.038597451950982055</x:v>
      </x:c>
      <x:c r="W65" s="13" t="n">
        <x:v>0.27301628783410753</x:v>
      </x:c>
      <x:c r="X65" s="13" t="n">
        <x:v>0.45860819027981653</x:v>
      </x:c>
      <x:c r="Y65" s="13" t="n">
        <x:v>0.24866733594263493</x:v>
      </x:c>
      <x:c r="Z65" s="13" t="n">
        <x:v>0.34990868494080707</x:v>
      </x:c>
      <x:c r="AA65" s="13" t="n">
        <x:v>0.4425294122085759</x:v>
      </x:c>
      <x:c r="AB65" s="13" t="n">
        <x:v>1.8582247793953202</x:v>
      </x:c>
      <x:c r="AC65" s="13" t="n">
        <x:v>0.0677977661612921</x:v>
      </x:c>
    </x:row>
    <x:row r="66">
      <x:c r="A66" s="13" t="str">
        <x:v>600522.SH</x:v>
      </x:c>
      <x:c r="B66" s="13" t="str">
        <x:v>中天科技</x:v>
      </x:c>
      <x:c r="C66" s="13" t="str">
        <x:v>民营企业</x:v>
      </x:c>
      <x:c r="D66" s="13" t="str">
        <x:v>信息技术--硬件设备--通信设备Ⅲ--通信设备Ⅳ</x:v>
      </x:c>
      <x:c r="E66" s="13" t="str">
        <x:v>硬件设备</x:v>
      </x:c>
      <x:c r="F66" s="13" t="n">
        <x:v>-105430079.46</x:v>
      </x:c>
      <x:c r="G66" s="13" t="n">
        <x:v>2902294275.49</x:v>
      </x:c>
      <x:c r="H66" s="13" t="n">
        <x:v>62112702334.24</x:v>
      </x:c>
      <x:c r="I66" s="13" t="n">
        <x:v>13165133.55</x:v>
      </x:c>
      <x:c r="J66" s="13" t="n">
        <x:v>2837918547.87</x:v>
      </x:c>
      <x:c r="K66" s="13" t="n">
        <x:v>58324381816.14</x:v>
      </x:c>
      <x:c r="L66" s="13" t="n">
        <x:v>54730839119.86</x:v>
      </x:c>
      <x:c r="M66" s="13" t="n">
        <x:v>41507969978.67</x:v>
      </x:c>
      <x:c r="N66" s="13" t="n">
        <x:v>47880280727.14</x:v>
      </x:c>
      <x:c r="O66" s="13" t="n">
        <x:v>19589768956.15</x:v>
      </x:c>
      <x:c r="P66" s="13" t="n">
        <x:v>11213861697.49</x:v>
      </x:c>
      <x:c r="Q66" s="13" t="n">
        <x:v>22509070977.36</x:v>
      </x:c>
      <x:c r="R66" s="13" t="n">
        <x:v>1701661444.47</x:v>
      </x:c>
      <x:c r="S66" s="13" t="n">
        <x:v>0.04502886029623302</x:v>
      </x:c>
      <x:c r="T66" s="13" t="n">
        <x:v>24.789286055846</x:v>
      </x:c>
      <x:c r="U66" s="13" t="n">
        <x:v>0.0970733222041679</x:v>
      </x:c>
      <x:c r="V66" s="13" t="n">
        <x:v>0.009423229883754195</x:v>
      </x:c>
      <x:c r="W66" s="13" t="n">
        <x:v>0.12235054081259594</x:v>
      </x:c>
      <x:c r="X66" s="13" t="n">
        <x:v>0.847024672204122</x:v>
      </x:c>
      <x:c r="Y66" s="13" t="n">
        <x:v>0.37579825692133806</x:v>
      </x:c>
      <x:c r="Z66" s="13" t="n">
        <x:v>0.19226713337211587</x:v>
      </x:c>
      <x:c r="AA66" s="13" t="n">
        <x:v>0.3859290107577464</x:v>
      </x:c>
      <x:c r="AB66" s="13" t="n">
        <x:v>2.118859598169942</x:v>
      </x:c>
      <x:c r="AC66" s="13" t="n">
        <x:v>0.02917581621069325</x:v>
      </x:c>
    </x:row>
    <x:row r="67">
      <x:c r="A67" s="13" t="str">
        <x:v>600588.SH</x:v>
      </x:c>
      <x:c r="B67" s="13" t="str">
        <x:v>用友网络</x:v>
      </x:c>
      <x:c r="C67" s="13" t="str">
        <x:v>民营企业</x:v>
      </x:c>
      <x:c r="D67" s="13" t="str">
        <x:v>信息技术--软件服务--软件--应用软件</x:v>
      </x:c>
      <x:c r="E67" s="13" t="str">
        <x:v>软件服务</x:v>
      </x:c>
      <x:c r="F67" s="13" t="n">
        <x:v>142321486</x:v>
      </x:c>
      <x:c r="G67" s="13" t="n">
        <x:v>-1389222622</x:v>
      </x:c>
      <x:c r="H67" s="13" t="n">
        <x:v>21631280327</x:v>
      </x:c>
      <x:c r="I67" s="13" t="n">
        <x:v>178302000</x:v>
      </x:c>
      <x:c r="J67" s="13" t="n">
        <x:v>-2061309000</x:v>
      </x:c>
      <x:c r="K67" s="13" t="n">
        <x:v>24156836000</x:v>
      </x:c>
      <x:c r="L67" s="13" t="n">
        <x:v>25521041000</x:v>
      </x:c>
      <x:c r="M67" s="13" t="n">
        <x:v>11031272000</x:v>
      </x:c>
      <x:c r="N67" s="13" t="n">
        <x:v>8817429000</x:v>
      </x:c>
      <x:c r="O67" s="13" t="n">
        <x:v>12365043000</x:v>
      </x:c>
      <x:c r="P67" s="13" t="n">
        <x:v>2897262000</x:v>
      </x:c>
      <x:c r="Q67" s="13" t="n">
        <x:v>14357360000</x:v>
      </x:c>
      <x:c r="R67" s="13" t="n">
        <x:v>1758998000</x:v>
      </x:c>
      <x:c r="S67" s="13" t="n">
        <x:v>-0.05764342734921832</x:v>
      </x:c>
      <x:c r="T67" s="13" t="n">
        <x:v>23.90783324117208</x:v>
      </x:c>
      <x:c r="U67" s="13" t="n">
        <x:v>0.10284034170705864</x:v>
      </x:c>
      <x:c r="V67" s="13" t="n">
        <x:v>0.010576135882424583</x:v>
      </x:c>
      <x:c r="W67" s="13" t="n">
        <x:v>0.23288063539086398</x:v>
      </x:c>
      <x:c r="X67" s="13" t="n">
        <x:v>0.35498413106502114</x:v>
      </x:c>
      <x:c r="Y67" s="13" t="n">
        <x:v>-0.055212984018271266</x:v>
      </x:c>
      <x:c r="Z67" s="13" t="n">
        <x:v>0.11993549155195656</x:v>
      </x:c>
      <x:c r="AA67" s="13" t="n">
        <x:v>0.5943394242524145</x:v>
      </x:c>
      <x:c r="AB67" s="13" t="n">
        <x:v>0.892133735402295</x:v>
      </x:c>
      <x:c r="AC67" s="13" t="n">
        <x:v>0.07281574457847045</x:v>
      </x:c>
    </x:row>
    <x:row r="68">
      <x:c r="A68" s="13" t="str">
        <x:v>600803.SH</x:v>
      </x:c>
      <x:c r="B68" s="13" t="str">
        <x:v>新奥股份</x:v>
      </x:c>
      <x:c r="C68" s="13" t="str">
        <x:v>民营企业</x:v>
      </x:c>
      <x:c r="D68" s="13" t="str">
        <x:v>公用事业--公用事业Ⅱ--燃气Ⅲ--燃气Ⅳ</x:v>
      </x:c>
      <x:c r="E68" s="13" t="str">
        <x:v>公用事业Ⅱ</x:v>
      </x:c>
      <x:c r="F68" s="13" t="n">
        <x:v>479670000</x:v>
      </x:c>
      <x:c r="G68" s="13" t="n">
        <x:v>4681320000</x:v>
      </x:c>
      <x:c r="H68" s="13" t="n">
        <x:v>135284300000</x:v>
      </x:c>
      <x:c r="I68" s="13" t="n">
        <x:v>1137000000</x:v>
      </x:c>
      <x:c r="J68" s="13" t="n">
        <x:v>4493000000</x:v>
      </x:c>
      <x:c r="K68" s="13" t="n">
        <x:v>132486000000</x:v>
      </x:c>
      <x:c r="L68" s="13" t="n">
        <x:v>134575000000</x:v>
      </x:c>
      <x:c r="M68" s="13" t="n">
        <x:v>36009000000</x:v>
      </x:c>
      <x:c r="N68" s="13" t="n">
        <x:v>131715000000</x:v>
      </x:c>
      <x:c r="O68" s="13" t="n">
        <x:v>43453000000</x:v>
      </x:c>
      <x:c r="P68" s="13" t="n">
        <x:v>68061000000</x:v>
      </x:c>
      <x:c r="Q68" s="13" t="n">
        <x:v>71943000000</x:v>
      </x:c>
      <x:c r="R68" s="13" t="n">
        <x:v>8329000000</x:v>
      </x:c>
      <x:c r="S68" s="13" t="n">
        <x:v>0.0381492161322489</x:v>
      </x:c>
      <x:c r="T68" s="13" t="n">
        <x:v>25.60974281641288</x:v>
      </x:c>
      <x:c r="U68" s="13" t="n">
        <x:v>1</x:v>
      </x:c>
      <x:c r="V68" s="13" t="n">
        <x:v>1</x:v>
      </x:c>
      <x:c r="W68" s="13" t="n">
        <x:v>1</x:v>
      </x:c>
      <x:c r="X68" s="13" t="n">
        <x:v>0.9864038552989767</x:v>
      </x:c>
      <x:c r="Y68" s="13" t="n">
        <x:v>-0.05618706882236614</x:v>
      </x:c>
      <x:c r="Z68" s="13" t="n">
        <x:v>0.5137222046102985</x:v>
      </x:c>
      <x:c r="AA68" s="13" t="n">
        <x:v>0.5430234137946651</x:v>
      </x:c>
      <x:c r="AB68" s="13" t="n">
        <x:v>0.8286884679999079</x:v>
      </x:c>
      <x:c r="AC68" s="13" t="n">
        <x:v>0.06286701991153783</x:v>
      </x:c>
    </x:row>
    <x:row r="69">
      <x:c r="A69" s="13" t="str">
        <x:v>600989.SH</x:v>
      </x:c>
      <x:c r="B69" s="13" t="str">
        <x:v>宝丰能源</x:v>
      </x:c>
      <x:c r="C69" s="13" t="str">
        <x:v>民营企业</x:v>
      </x:c>
      <x:c r="D69" s="13" t="str">
        <x:v>材料--化工--基础化工--商品化工</x:v>
      </x:c>
      <x:c r="E69" s="13" t="str">
        <x:v>化工</x:v>
      </x:c>
      <x:c r="F69" s="13" t="n">
        <x:v>1139814907.38</x:v>
      </x:c>
      <x:c r="G69" s="13" t="n">
        <x:v>11350295509.65</x:v>
      </x:c>
      <x:c r="H69" s="13" t="n">
        <x:v>90152489325.37</x:v>
      </x:c>
      <x:c r="I69" s="13" t="n">
        <x:v>744402340.66</x:v>
      </x:c>
      <x:c r="J69" s="13" t="n">
        <x:v>6337676311.63</x:v>
      </x:c>
      <x:c r="K69" s="13" t="n">
        <x:v>89566217563.17</x:v>
      </x:c>
      <x:c r="L69" s="13" t="n">
        <x:v>71630299331.58</x:v>
      </x:c>
      <x:c r="M69" s="13" t="n">
        <x:v>4785824996.48</x:v>
      </x:c>
      <x:c r="N69" s="13" t="n">
        <x:v>32338064155.83</x:v>
      </x:c>
      <x:c r="O69" s="13" t="n">
        <x:v>21250374260.58</x:v>
      </x:c>
      <x:c r="P69" s="13" t="n">
        <x:v>73342009883.64</x:v>
      </x:c>
      <x:c r="Q69" s="13" t="n">
        <x:v>46559996654.97</x:v>
      </x:c>
      <x:c r="R69" s="13" t="n">
        <x:v>11529080272.76</x:v>
      </x:c>
      <x:c r="S69" s="13" t="n">
        <x:v>0.1385442655049918</x:v>
      </x:c>
      <x:c r="T69" s="13" t="n">
        <x:v>25.21824404970597</x:v>
      </x:c>
      <x:c r="U69" s="13" t="n">
        <x:v>0.056296692304437915</x:v>
      </x:c>
      <x:c r="V69" s="13" t="n">
        <x:v>0.003169317564420559</x:v>
      </x:c>
      <x:c r="W69" s="13" t="n">
        <x:v>0.3404756158039197</x:v>
      </x:c>
      <x:c r="X69" s="13" t="n">
        <x:v>0.4012253462888964</x:v>
      </x:c>
      <x:c r="Y69" s="13" t="n">
        <x:v>-0.1838254390109502</x:v>
      </x:c>
      <x:c r="Z69" s="13" t="n">
        <x:v>0.8188579564824511</x:v>
      </x:c>
      <x:c r="AA69" s="13" t="n">
        <x:v>0.5198388178236039</x:v>
      </x:c>
      <x:c r="AB69" s="13" t="n">
        <x:v>0.2252113274709627</x:v>
      </x:c>
      <x:c r="AC69" s="13" t="n">
        <x:v>0.12872130348285252</x:v>
      </x:c>
    </x:row>
    <x:row r="70">
      <x:c r="A70" s="13" t="str">
        <x:v>601012.SH</x:v>
      </x:c>
      <x:c r="B70" s="13" t="str">
        <x:v>隆基绿能</x:v>
      </x:c>
      <x:c r="C70" s="13" t="str">
        <x:v>民营企业</x:v>
      </x:c>
      <x:c r="D70" s="13" t="str">
        <x:v>工业--电气设备--电气设备Ⅲ--光伏设备</x:v>
      </x:c>
      <x:c r="E70" s="13" t="str">
        <x:v>电气设备</x:v>
      </x:c>
      <x:c r="F70" s="13" t="n">
        <x:v>116536191.11</x:v>
      </x:c>
      <x:c r="G70" s="13" t="n">
        <x:v>-6419556843.85</x:v>
      </x:c>
      <x:c r="H70" s="13" t="n">
        <x:v>153803608808.29</x:v>
      </x:c>
      <x:c r="I70" s="13" t="n">
        <x:v>-237167820.85</x:v>
      </x:c>
      <x:c r="J70" s="13" t="n">
        <x:v>-8617528506.44</x:v>
      </x:c>
      <x:c r="K70" s="13" t="n">
        <x:v>152844602368.05</x:v>
      </x:c>
      <x:c r="L70" s="13" t="n">
        <x:v>163969201409.91</x:v>
      </x:c>
      <x:c r="M70" s="13" t="n">
        <x:v>90023010481.69</x:v>
      </x:c>
      <x:c r="N70" s="13" t="n">
        <x:v>82246885172.59</x:v>
      </x:c>
      <x:c r="O70" s="13" t="n">
        <x:v>60293087421.47</x:v>
      </x:c>
      <x:c r="P70" s="13" t="n">
        <x:v>40607351445.53</x:v>
      </x:c>
      <x:c r="Q70" s="13" t="n">
        <x:v>91443923169.18</x:v>
      </x:c>
      <x:c r="R70" s="13" t="n">
        <x:v>8013068271.53</x:v>
      </x:c>
      <x:c r="S70" s="13" t="n">
        <x:v>-0.040980967232026794</x:v>
      </x:c>
      <x:c r="T70" s="13" t="n">
        <x:v>25.752687571398685</x:v>
      </x:c>
      <x:c r="U70" s="13" t="n">
        <x:v>0.073114426741135</x:v>
      </x:c>
      <x:c r="V70" s="13" t="n">
        <x:v>0.005345719397684796</x:v>
      </x:c>
      <x:c r="W70" s="13" t="n">
        <x:v>0.14616578354193543</x:v>
      </x:c>
      <x:c r="X70" s="13" t="n">
        <x:v>0.5192127627761637</x:v>
      </x:c>
      <x:c r="Y70" s="13" t="n">
        <x:v>0.19451078153633655</x:v>
      </x:c>
      <x:c r="Z70" s="13" t="n">
        <x:v>0.2656773665304022</x:v>
      </x:c>
      <x:c r="AA70" s="13" t="n">
        <x:v>0.5982803563385438</x:v>
      </x:c>
      <x:c r="AB70" s="13" t="n">
        <x:v>1.4930900760214405</x:v>
      </x:c>
      <x:c r="AC70" s="13" t="n">
        <x:v>0.05242624304281627</x:v>
      </x:c>
    </x:row>
    <x:row r="71">
      <x:c r="A71" s="13" t="str">
        <x:v>601021.SH</x:v>
      </x:c>
      <x:c r="B71" s="13" t="str">
        <x:v>春秋航空</x:v>
      </x:c>
      <x:c r="C71" s="13" t="str">
        <x:v>民营企业</x:v>
      </x:c>
      <x:c r="D71" s="13" t="str">
        <x:v>工业--交通运输--航空客运Ⅲ--航空客运Ⅳ</x:v>
      </x:c>
      <x:c r="E71" s="13" t="str">
        <x:v>交通运输</x:v>
      </x:c>
      <x:c r="F71" s="13" t="n">
        <x:v>305192659</x:v>
      </x:c>
      <x:c r="G71" s="13" t="n">
        <x:v>2317401673</x:v>
      </x:c>
      <x:c r="H71" s="13" t="n">
        <x:v>46876574409</x:v>
      </x:c>
      <x:c r="I71" s="13" t="n">
        <x:v>266403278</x:v>
      </x:c>
      <x:c r="J71" s="13" t="n">
        <x:v>2272944296</x:v>
      </x:c>
      <x:c r="K71" s="13" t="n">
        <x:v>43835011780</x:v>
      </x:c>
      <x:c r="L71" s="13" t="n">
        <x:v>44237902712</x:v>
      </x:c>
      <x:c r="M71" s="13" t="n">
        <x:v>12012791810</x:v>
      </x:c>
      <x:c r="N71" s="13" t="n">
        <x:v>19961559760</x:v>
      </x:c>
      <x:c r="O71" s="13" t="n">
        <x:v>9048743906</x:v>
      </x:c>
      <x:c r="P71" s="13" t="n">
        <x:v>27134658121</x:v>
      </x:c>
      <x:c r="Q71" s="13" t="n">
        <x:v>26454116508</x:v>
      </x:c>
      <x:c r="R71" s="13" t="n">
        <x:v>7213702510</x:v>
      </x:c>
      <x:c r="S71" s="13" t="n">
        <x:v>0.05594679997556474</x:v>
      </x:c>
      <x:c r="T71" s="13" t="n">
        <x:v>24.503698690721954</x:v>
      </x:c>
      <x:c r="U71" s="13" t="n">
        <x:v>0.053493925858715013</x:v>
      </x:c>
      <x:c r="V71" s="13" t="n">
        <x:v>0.002861600103777699</x:v>
      </x:c>
      <x:c r="W71" s="13" t="n">
        <x:v>0.6177817572282329</x:v>
      </x:c>
      <x:c r="X71" s="13" t="n">
        <x:v>0.4532962233653159</x:v>
      </x:c>
      <x:c r="Y71" s="13" t="n">
        <x:v>0.06761827552085581</x:v>
      </x:c>
      <x:c r="Z71" s="13" t="n">
        <x:v>0.6190179269754493</x:v>
      </x:c>
      <x:c r="AA71" s="13" t="n">
        <x:v>0.6034928572796656</x:v>
      </x:c>
      <x:c r="AB71" s="13" t="n">
        <x:v>1.3275645697116716</x:v>
      </x:c>
      <x:c r="AC71" s="13" t="n">
        <x:v>0.16456485847897723</x:v>
      </x:c>
    </x:row>
    <x:row r="72">
      <x:c r="A72" s="13" t="str">
        <x:v>601058.SH</x:v>
      </x:c>
      <x:c r="B72" s="13" t="str">
        <x:v>赛轮轮胎</x:v>
      </x:c>
      <x:c r="C72" s="13" t="str">
        <x:v>民营企业</x:v>
      </x:c>
      <x:c r="D72" s="13" t="str">
        <x:v>可选消费--汽车与零配件--汽车零配件--轮胎与橡胶</x:v>
      </x:c>
      <x:c r="E72" s="13" t="str">
        <x:v>汽车与零配件</x:v>
      </x:c>
      <x:c r="F72" s="13" t="n">
        <x:v>396468014.37</x:v>
      </x:c>
      <x:c r="G72" s="13" t="n">
        <x:v>3522493083.51</x:v>
      </x:c>
      <x:c r="H72" s="13" t="n">
        <x:v>46770401485.61</x:v>
      </x:c>
      <x:c r="I72" s="13" t="n">
        <x:v>351346745.02</x:v>
      </x:c>
      <x:c r="J72" s="13" t="n">
        <x:v>4062674002.7</x:v>
      </x:c>
      <x:c r="K72" s="13" t="n">
        <x:v>40284983406.79</x:v>
      </x:c>
      <x:c r="L72" s="13" t="n">
        <x:v>33725713539.78</x:v>
      </x:c>
      <x:c r="M72" s="13" t="n">
        <x:v>19500010351.85</x:v>
      </x:c>
      <x:c r="N72" s="13" t="n">
        <x:v>31692513020.38</x:v>
      </x:c>
      <x:c r="O72" s="13" t="n">
        <x:v>15732563871.19</x:v>
      </x:c>
      <x:c r="P72" s="13" t="n">
        <x:v>16121396093.7</x:v>
      </x:c>
      <x:c r="Q72" s="13" t="n">
        <x:v>19713262347.72</x:v>
      </x:c>
      <x:c r="R72" s="13" t="n">
        <x:v>4024462509.92</x:v>
      </x:c>
      <x:c r="S72" s="13" t="n">
        <x:v>0.08379147865741027</x:v>
      </x:c>
      <x:c r="T72" s="13" t="n">
        <x:v>24.41924461627999</x:v>
      </x:c>
      <x:c r="U72" s="13" t="n">
        <x:v>0.026568243056779125</x:v>
      </x:c>
      <x:c r="V72" s="13" t="n">
        <x:v>0.0007058715391240922</x:v>
      </x:c>
      <x:c r="W72" s="13" t="n">
        <x:v>0.4695797494099714</x:v>
      </x:c>
      <x:c r="X72" s="13" t="n">
        <x:v>0.8564306060584604</x:v>
      </x:c>
      <x:c r="Y72" s="13" t="n">
        <x:v>0.09351987172532875</x:v>
      </x:c>
      <x:c r="Z72" s="13" t="n">
        <x:v>0.4001837590674731</x:v>
      </x:c>
      <x:c r="AA72" s="13" t="n">
        <x:v>0.48934517729992033</x:v>
      </x:c>
      <x:c r="AB72" s="13" t="n">
        <x:v>1.239468055652332</x:v>
      </x:c>
      <x:c r="AC72" s="13" t="n">
        <x:v>0.09989981798631398</x:v>
      </x:c>
    </x:row>
    <x:row r="73">
      <x:c r="A73" s="13" t="str">
        <x:v>601100.SH</x:v>
      </x:c>
      <x:c r="B73" s="13" t="str">
        <x:v>恒立液压</x:v>
      </x:c>
      <x:c r="C73" s="13" t="str">
        <x:v>民营企业</x:v>
      </x:c>
      <x:c r="D73" s="13" t="str">
        <x:v>工业--机械--机械Ⅲ--工业机械</x:v>
      </x:c>
      <x:c r="E73" s="13" t="str">
        <x:v>机械</x:v>
      </x:c>
      <x:c r="F73" s="13" t="n">
        <x:v>5913801.78</x:v>
      </x:c>
      <x:c r="G73" s="13" t="n">
        <x:v>2734121067.32</x:v>
      </x:c>
      <x:c r="H73" s="13" t="n">
        <x:v>21670965419.64</x:v>
      </x:c>
      <x:c r="I73" s="13" t="n">
        <x:v>-131409879.3</x:v>
      </x:c>
      <x:c r="J73" s="13" t="n">
        <x:v>2508706743</x:v>
      </x:c>
      <x:c r="K73" s="13" t="n">
        <x:v>19638650656.83</x:v>
      </x:c>
      <x:c r="L73" s="13" t="n">
        <x:v>17895562755.83</x:v>
      </x:c>
      <x:c r="M73" s="13" t="n">
        <x:v>13830401886.09</x:v>
      </x:c>
      <x:c r="N73" s="13" t="n">
        <x:v>9299657329.97</x:v>
      </x:c>
      <x:c r="O73" s="13" t="n">
        <x:v>3379240270.75</x:v>
      </x:c>
      <x:c r="P73" s="13" t="n">
        <x:v>4972811332.69</x:v>
      </x:c>
      <x:c r="Q73" s="13" t="n">
        <x:v>3810271530.89</x:v>
      </x:c>
      <x:c r="R73" s="13" t="n">
        <x:v>1071369421.72</x:v>
      </x:c>
      <x:c r="S73" s="13" t="n">
        <x:v>0.12643806198946528</x:v>
      </x:c>
      <x:c r="T73" s="13" t="n">
        <x:v>23.70076543368512</x:v>
      </x:c>
      <x:c r="U73" s="13" t="n">
        <x:v>0.08042585088502857</x:v>
      </x:c>
      <x:c r="V73" s="13" t="n">
        <x:v>0.0064683174905808515</x:v>
      </x:c>
      <x:c r="W73" s="13" t="n">
        <x:v>0.5244055085518771</x:v>
      </x:c>
      <x:c r="X73" s="13" t="n">
        <x:v>0.49552962401142503</x:v>
      </x:c>
      <x:c r="Y73" s="13" t="n">
        <x:v>0.5321731007881265</x:v>
      </x:c>
      <x:c r="Z73" s="13" t="n">
        <x:v>0.2532155299050822</x:v>
      </x:c>
      <x:c r="AA73" s="13" t="n">
        <x:v>0.1940190086106985</x:v>
      </x:c>
      <x:c r="AB73" s="13" t="n">
        <x:v>4.092754814093297</x:v>
      </x:c>
      <x:c r="AC73" s="13" t="n">
        <x:v>0.0545541259652376</x:v>
      </x:c>
    </x:row>
    <x:row r="74">
      <x:c r="A74" s="13" t="str">
        <x:v>601127.SH</x:v>
      </x:c>
      <x:c r="B74" s="13" t="str">
        <x:v>赛力斯</x:v>
      </x:c>
      <x:c r="C74" s="13" t="str">
        <x:v>民营企业</x:v>
      </x:c>
      <x:c r="D74" s="13" t="str">
        <x:v>可选消费--汽车与零配件--汽车--汽车制造</x:v>
      </x:c>
      <x:c r="E74" s="13" t="str">
        <x:v>汽车与零配件</x:v>
      </x:c>
      <x:c r="F74" s="13" t="n">
        <x:v>198656000</x:v>
      </x:c>
      <x:c r="G74" s="13" t="n">
        <x:v>5956787000</x:v>
      </x:c>
      <x:c r="H74" s="13" t="n">
        <x:v>143905863000</x:v>
      </x:c>
      <x:c r="I74" s="13" t="n">
        <x:v>240382000</x:v>
      </x:c>
      <x:c r="J74" s="13" t="n">
        <x:v>5945945000</x:v>
      </x:c>
      <x:c r="K74" s="13" t="n">
        <x:v>94363958000</x:v>
      </x:c>
      <x:c r="L74" s="13" t="n">
        <x:v>51244671000</x:v>
      </x:c>
      <x:c r="M74" s="13" t="n">
        <x:v>65997852000</x:v>
      </x:c>
      <x:c r="N74" s="13" t="n">
        <x:v>145113623000</x:v>
      </x:c>
      <x:c r="O74" s="13" t="n">
        <x:v>76264794000</x:v>
      </x:c>
      <x:c r="P74" s="13" t="n">
        <x:v>10063416000</x:v>
      </x:c>
      <x:c r="Q74" s="13" t="n">
        <x:v>82458401000</x:v>
      </x:c>
      <x:c r="R74" s="13" t="n">
        <x:v>7143934000</x:v>
      </x:c>
      <x:c r="S74" s="13" t="n">
        <x:v>0.04277409461767378</x:v>
      </x:c>
      <x:c r="T74" s="13" t="n">
        <x:v>25.27042503634591</x:v>
      </x:c>
      <x:c r="U74" s="13" t="n">
        <x:v>0.12165062468333053</x:v>
      </x:c>
      <x:c r="V74" s="13" t="n">
        <x:v>0.014798874485844547</x:v>
      </x:c>
      <x:c r="W74" s="13" t="n">
        <x:v>0.4695797494099714</x:v>
      </x:c>
      <x:c r="X74" s="13" t="n">
        <x:v>1.9932008699841546</x:v>
      </x:c>
      <x:c r="Y74" s="13" t="n">
        <x:v>-0.1088015193258426</x:v>
      </x:c>
      <x:c r="Z74" s="13" t="n">
        <x:v>0.10664470008771781</x:v>
      </x:c>
      <x:c r="AA74" s="13" t="n">
        <x:v>0.873833641017898</x:v>
      </x:c>
      <x:c r="AB74" s="13" t="n">
        <x:v>0.8653776997024342</x:v>
      </x:c>
      <x:c r="AC74" s="13" t="n">
        <x:v>0.07570617162963851</x:v>
      </x:c>
    </x:row>
    <x:row r="75">
      <x:c r="A75" s="13" t="str">
        <x:v>601360.SH</x:v>
      </x:c>
      <x:c r="B75" s="13" t="str">
        <x:v>三六零</x:v>
      </x:c>
      <x:c r="C75" s="13" t="str">
        <x:v>民营企业</x:v>
      </x:c>
      <x:c r="D75" s="13" t="str">
        <x:v>信息技术--软件服务--软件--应用软件</x:v>
      </x:c>
      <x:c r="E75" s="13" t="str">
        <x:v>软件服务</x:v>
      </x:c>
      <x:c r="F75" s="13" t="n">
        <x:v>-635560000</x:v>
      </x:c>
      <x:c r="G75" s="13" t="n">
        <x:v>263013000</x:v>
      </x:c>
      <x:c r="H75" s="13" t="n">
        <x:v>37516528000</x:v>
      </x:c>
      <x:c r="I75" s="13" t="n">
        <x:v>-763489000</x:v>
      </x:c>
      <x:c r="J75" s="13" t="n">
        <x:v>-1093799000</x:v>
      </x:c>
      <x:c r="K75" s="13" t="n">
        <x:v>38256187000</x:v>
      </x:c>
      <x:c r="L75" s="13" t="n">
        <x:v>40168367000</x:v>
      </x:c>
      <x:c r="M75" s="13" t="n">
        <x:v>26666381000</x:v>
      </x:c>
      <x:c r="N75" s="13" t="n">
        <x:v>7870205000</x:v>
      </x:c>
      <x:c r="O75" s="13" t="n">
        <x:v>6511410000</x:v>
      </x:c>
      <x:c r="P75" s="13" t="n">
        <x:v>1505625000</x:v>
      </x:c>
      <x:c r="Q75" s="13" t="n">
        <x:v>8120824000</x:v>
      </x:c>
      <x:c r="R75" s="13" t="n">
        <x:v>758655000</x:v>
      </x:c>
      <x:c r="S75" s="13" t="n">
        <x:v>-0.009930209959727617</x:v>
      </x:c>
      <x:c r="T75" s="13" t="n">
        <x:v>24.367571135772558</x:v>
      </x:c>
      <x:c r="U75" s="13" t="n">
        <x:v>0.0917925816589622</x:v>
      </x:c>
      <x:c r="V75" s="13" t="n">
        <x:v>0.008425878047617245</x:v>
      </x:c>
      <x:c r="W75" s="13" t="n">
        <x:v>0.23288063539086398</x:v>
      </x:c>
      <x:c r="X75" s="13" t="n">
        <x:v>0.20070767632290265</x:v>
      </x:c>
      <x:c r="Y75" s="13" t="n">
        <x:v>0.5268421288300373</x:v>
      </x:c>
      <x:c r="Z75" s="13" t="n">
        <x:v>0.03935637913940561</x:v>
      </x:c>
      <x:c r="AA75" s="13" t="n">
        <x:v>0.21227478838913036</x:v>
      </x:c>
      <x:c r="AB75" s="13" t="n">
        <x:v>4.095331272335792</x:v>
      </x:c>
      <x:c r="AC75" s="13" t="n">
        <x:v>0.019830909964968543</x:v>
      </x:c>
    </x:row>
    <x:row r="76">
      <x:c r="A76" s="13" t="str">
        <x:v>601633.SH</x:v>
      </x:c>
      <x:c r="B76" s="13" t="str">
        <x:v>长城汽车</x:v>
      </x:c>
      <x:c r="C76" s="13" t="str">
        <x:v>民营企业</x:v>
      </x:c>
      <x:c r="D76" s="13" t="str">
        <x:v>可选消费--汽车与零配件--汽车--汽车制造</x:v>
      </x:c>
      <x:c r="E76" s="13" t="str">
        <x:v>汽车与零配件</x:v>
      </x:c>
      <x:c r="F76" s="13" t="n">
        <x:v>735538728.32</x:v>
      </x:c>
      <x:c r="G76" s="13" t="n">
        <x:v>9865280190.16</x:v>
      </x:c>
      <x:c r="H76" s="13" t="n">
        <x:v>225287872883.05</x:v>
      </x:c>
      <x:c r="I76" s="13" t="n">
        <x:v>882010505.97</x:v>
      </x:c>
      <x:c r="J76" s="13" t="n">
        <x:v>12692204172.58</x:v>
      </x:c>
      <x:c r="K76" s="13" t="n">
        <x:v>217266223746.47</x:v>
      </x:c>
      <x:c r="L76" s="13" t="n">
        <x:v>201270288570.21</x:v>
      </x:c>
      <x:c r="M76" s="13" t="n">
        <x:v>133435084246.57</x:v>
      </x:c>
      <x:c r="N76" s="13" t="n">
        <x:v>202195472334.88</x:v>
      </x:c>
      <x:c r="O76" s="13" t="n">
        <x:v>122228797798.25</x:v>
      </x:c>
      <x:c r="P76" s="13" t="n">
        <x:v>33609739640.71</x:v>
      </x:c>
      <x:c r="Q76" s="13" t="n">
        <x:v>138269994927.77</x:v>
      </x:c>
      <x:c r="R76" s="13" t="n">
        <x:v>11737403526.94</x:v>
      </x:c>
      <x:c r="S76" s="13" t="n">
        <x:v>0.04705454751212032</x:v>
      </x:c>
      <x:c r="T76" s="13" t="n">
        <x:v>26.10438927607798</x:v>
      </x:c>
      <x:c r="U76" s="13" t="n">
        <x:v>0.16950307634231715</x:v>
      </x:c>
      <x:c r="V76" s="13" t="n">
        <x:v>0.028731292889509395</x:v>
      </x:c>
      <x:c r="W76" s="13" t="n">
        <x:v>0.4695797494099714</x:v>
      </x:c>
      <x:c r="X76" s="13" t="n">
        <x:v>0.9662023091638492</x:v>
      </x:c>
      <x:c r="Y76" s="13" t="n">
        <x:v>0.05157859447769814</x:v>
      </x:c>
      <x:c r="Z76" s="13" t="n">
        <x:v>0.1546938086424769</x:v>
      </x:c>
      <x:c r="AA76" s="13" t="n">
        <x:v>0.6364081473111004</x:v>
      </x:c>
      <x:c r="AB76" s="13" t="n">
        <x:v>1.091682865659998</x:v>
      </x:c>
      <x:c r="AC76" s="13" t="n">
        <x:v>0.05402313955912672</x:v>
      </x:c>
    </x:row>
    <x:row r="77">
      <x:c r="A77" s="13" t="str">
        <x:v>601877.SH</x:v>
      </x:c>
      <x:c r="B77" s="13" t="str">
        <x:v>正泰电器</x:v>
      </x:c>
      <x:c r="C77" s="13" t="str">
        <x:v>民营企业</x:v>
      </x:c>
      <x:c r="D77" s="13" t="str">
        <x:v>工业--电气设备--电气设备Ⅲ--电气部件与设备</x:v>
      </x:c>
      <x:c r="E77" s="13" t="str">
        <x:v>电气设备</x:v>
      </x:c>
      <x:c r="F77" s="13" t="n">
        <x:v>1868199701.91</x:v>
      </x:c>
      <x:c r="G77" s="13" t="n">
        <x:v>4501407070.08</x:v>
      </x:c>
      <x:c r="H77" s="13" t="n">
        <x:v>158643189137.54</x:v>
      </x:c>
      <x:c r="I77" s="13" t="n">
        <x:v>1889917732.4</x:v>
      </x:c>
      <x:c r="J77" s="13" t="n">
        <x:v>3874293018.8</x:v>
      </x:c>
      <x:c r="K77" s="13" t="n">
        <x:v>138081167945.54</x:v>
      </x:c>
      <x:c r="L77" s="13" t="n">
        <x:v>120804656034.59</x:v>
      </x:c>
      <x:c r="M77" s="13" t="n">
        <x:v>81360626602.19</x:v>
      </x:c>
      <x:c r="N77" s="13" t="n">
        <x:v>64042886154.97</x:v>
      </x:c>
      <x:c r="O77" s="13" t="n">
        <x:v>56753163638.68</x:v>
      </x:c>
      <x:c r="P77" s="13" t="n">
        <x:v>29258988972.68</x:v>
      </x:c>
      <x:c r="Q77" s="13" t="n">
        <x:v>87374552889.82</x:v>
      </x:c>
      <x:c r="R77" s="13" t="n">
        <x:v>2951303421.61</x:v>
      </x:c>
      <x:c r="S77" s="13" t="n">
        <x:v>0.04015052147286132</x:v>
      </x:c>
      <x:c r="T77" s="13" t="n">
        <x:v>25.651107522715773</x:v>
      </x:c>
      <x:c r="U77" s="13" t="n">
        <x:v>0.05693174760652094</x:v>
      </x:c>
      <x:c r="V77" s="13" t="n">
        <x:v>0.003241223885532603</x:v>
      </x:c>
      <x:c r="W77" s="13" t="n">
        <x:v>0.14616578354193543</x:v>
      </x:c>
      <x:c r="X77" s="13" t="n">
        <x:v>0.4947577675005134</x:v>
      </x:c>
      <x:c r="Y77" s="13" t="n">
        <x:v>0.1782101305314518</x:v>
      </x:c>
      <x:c r="Z77" s="13" t="n">
        <x:v>0.2118970270024071</x:v>
      </x:c>
      <x:c r="AA77" s="13" t="n">
        <x:v>0.6327767514559337</x:v>
      </x:c>
      <x:c r="AB77" s="13" t="n">
        <x:v>1.433587511000688</x:v>
      </x:c>
      <x:c r="AC77" s="13" t="n">
        <x:v>0.021373685242682846</x:v>
      </x:c>
    </x:row>
    <x:row r="78">
      <x:c r="A78" s="13" t="str">
        <x:v>603195.SH</x:v>
      </x:c>
      <x:c r="B78" s="13" t="str">
        <x:v>公牛集团</x:v>
      </x:c>
      <x:c r="C78" s="13" t="str">
        <x:v>民营企业</x:v>
      </x:c>
      <x:c r="D78" s="13" t="str">
        <x:v>工业--电气设备--电气设备Ⅲ--电气部件与设备</x:v>
      </x:c>
      <x:c r="E78" s="13" t="str">
        <x:v>电气设备</x:v>
      </x:c>
      <x:c r="F78" s="13" t="n">
        <x:v>-96686209.09</x:v>
      </x:c>
      <x:c r="G78" s="13" t="n">
        <x:v>4070632747.77</x:v>
      </x:c>
      <x:c r="H78" s="13" t="n">
        <x:v>22556242542.63</x:v>
      </x:c>
      <x:c r="I78" s="13" t="n">
        <x:v>-118167719.43</x:v>
      </x:c>
      <x:c r="J78" s="13" t="n">
        <x:v>4272204565.03</x:v>
      </x:c>
      <x:c r="K78" s="13" t="n">
        <x:v>20494034490.68</x:v>
      </x:c>
      <x:c r="L78" s="13" t="n">
        <x:v>19762205724.93</x:v>
      </x:c>
      <x:c r="M78" s="13" t="n">
        <x:v>16337394047.63</x:v>
      </x:c>
      <x:c r="N78" s="13" t="n">
        <x:v>16697363009.06</x:v>
      </x:c>
      <x:c r="O78" s="13" t="n">
        <x:v>4388186523.61</x:v>
      </x:c>
      <x:c r="P78" s="13" t="n">
        <x:v>3538566001.45</x:v>
      </x:c>
      <x:c r="Q78" s="13" t="n">
        <x:v>4619054119.92</x:v>
      </x:c>
      <x:c r="R78" s="13" t="n">
        <x:v>938519618.43</x:v>
      </x:c>
      <x:c r="S78" s="13" t="n">
        <x:v>0.17617945591644837</x:v>
      </x:c>
      <x:c r="T78" s="13" t="n">
        <x:v>23.74339968028729</x:v>
      </x:c>
      <x:c r="U78" s="13" t="n">
        <x:v>0.014843335670818945</x:v>
      </x:c>
      <x:c r="V78" s="13" t="n">
        <x:v>0.0002203246138366061</x:v>
      </x:c>
      <x:c r="W78" s="13" t="n">
        <x:v>0.14616578354193543</x:v>
      </x:c>
      <x:c r="X78" s="13" t="n">
        <x:v>0.8295540229107302</x:v>
      </x:c>
      <x:c r="Y78" s="13" t="n">
        <x:v>0.5830578420005148</x:v>
      </x:c>
      <x:c r="Z78" s="13" t="n">
        <x:v>0.17266322075622645</x:v>
      </x:c>
      <x:c r="AA78" s="13" t="n">
        <x:v>0.22538530039171112</x:v>
      </x:c>
      <x:c r="AB78" s="13" t="n">
        <x:v>3.72304002114063</x:v>
      </x:c>
      <x:c r="AC78" s="13" t="n">
        <x:v>0.04579477110067357</x:v>
      </x:c>
    </x:row>
    <x:row r="79">
      <x:c r="A79" s="13" t="str">
        <x:v>603259.SH</x:v>
      </x:c>
      <x:c r="B79" s="13" t="str">
        <x:v>药明康德</x:v>
      </x:c>
      <x:c r="C79" s="13" t="str">
        <x:v>民营企业</x:v>
      </x:c>
      <x:c r="D79" s="13" t="str">
        <x:v>医疗保健--医药生物--生命科学工具和服务Ⅲ--生命科学工具和服务Ⅳ</x:v>
      </x:c>
      <x:c r="E79" s="13" t="str">
        <x:v>医药生物</x:v>
      </x:c>
      <x:c r="F79" s="13" t="n">
        <x:v>306492000</x:v>
      </x:c>
      <x:c r="G79" s="13" t="n">
        <x:v>19194927000</x:v>
      </x:c>
      <x:c r="H79" s="13" t="n">
        <x:v>103120969000</x:v>
      </x:c>
      <x:c r="I79" s="13" t="n">
        <x:v>268565000</x:v>
      </x:c>
      <x:c r="J79" s="13" t="n">
        <x:v>9352608000</x:v>
      </x:c>
      <x:c r="K79" s="13" t="n">
        <x:v>80325824000</x:v>
      </x:c>
      <x:c r="L79" s="13" t="n">
        <x:v>73669349000</x:v>
      </x:c>
      <x:c r="M79" s="13" t="n">
        <x:v>38690152000</x:v>
      </x:c>
      <x:c r="N79" s="13" t="n">
        <x:v>39241431000</x:v>
      </x:c>
      <x:c r="O79" s="13" t="n">
        <x:v>16226115000</x:v>
      </x:c>
      <x:c r="P79" s="13" t="n">
        <x:v>25267837000</x:v>
      </x:c>
      <x:c r="Q79" s="13" t="n">
        <x:v>21240211000</x:v>
      </x:c>
      <x:c r="R79" s="13" t="n">
        <x:v>4003493000</x:v>
      </x:c>
      <x:c r="S79" s="13" t="n">
        <x:v>0.18911206119484777</x:v>
      </x:c>
      <x:c r="T79" s="13" t="n">
        <x:v>25.10935700022127</x:v>
      </x:c>
      <x:c r="U79" s="13" t="n">
        <x:v>0.1896700710278351</x:v>
      </x:c>
      <x:c r="V79" s="13" t="n">
        <x:v>0.03597473584370401</x:v>
      </x:c>
      <x:c r="W79" s="13" t="n">
        <x:v>0.13623235092080122</x:v>
      </x:c>
      <x:c r="X79" s="13" t="n">
        <x:v>0.5096449484166624</x:v>
      </x:c>
      <x:c r="Y79" s="13" t="n">
        <x:v>0.27966145731664077</x:v>
      </x:c>
      <x:c r="Z79" s="13" t="n">
        <x:v>0.31456679485790273</x:v>
      </x:c>
      <x:c r="AA79" s="13" t="n">
        <x:v>0.26442568457187565</x:v>
      </x:c>
      <x:c r="AB79" s="13" t="n">
        <x:v>2.384437186597038</x:v>
      </x:c>
      <x:c r="AC79" s="13" t="n">
        <x:v>0.04984067141346723</x:v>
      </x:c>
    </x:row>
    <x:row r="80">
      <x:c r="A80" s="13" t="str">
        <x:v>603260.SH</x:v>
      </x:c>
      <x:c r="B80" s="13" t="str">
        <x:v>合盛硅业</x:v>
      </x:c>
      <x:c r="C80" s="13" t="str">
        <x:v>民营企业</x:v>
      </x:c>
      <x:c r="D80" s="13" t="str">
        <x:v>材料--化工--基础化工--商品化工</x:v>
      </x:c>
      <x:c r="E80" s="13" t="str">
        <x:v>化工</x:v>
      </x:c>
      <x:c r="F80" s="13" t="n">
        <x:v>1165138162.73</x:v>
      </x:c>
      <x:c r="G80" s="13" t="n">
        <x:v>-2990853048.26</x:v>
      </x:c>
      <x:c r="H80" s="13" t="n">
        <x:v>83606668256.61</x:v>
      </x:c>
      <x:c r="I80" s="13" t="n">
        <x:v>891684693.1</x:v>
      </x:c>
      <x:c r="J80" s="13" t="n">
        <x:v>1740476559.55</x:v>
      </x:c>
      <x:c r="K80" s="13" t="n">
        <x:v>90773438669.86</x:v>
      </x:c>
      <x:c r="L80" s="13" t="n">
        <x:v>83344046933.95</x:v>
      </x:c>
      <x:c r="M80" s="13" t="n">
        <x:v>13546103760.94</x:v>
      </x:c>
      <x:c r="N80" s="13" t="n">
        <x:v>26188634721.07</x:v>
      </x:c>
      <x:c r="O80" s="13" t="n">
        <x:v>37927525030.06</x:v>
      </x:c>
      <x:c r="P80" s="13" t="n">
        <x:v>68508769167.23</x:v>
      </x:c>
      <x:c r="Q80" s="13" t="n">
        <x:v>57943898736.42</x:v>
      </x:c>
      <x:c r="R80" s="13" t="n">
        <x:v>5608976992.57</x:v>
      </x:c>
      <x:c r="S80" s="13" t="n">
        <x:v>-0.021836953003873085</x:v>
      </x:c>
      <x:c r="T80" s="13" t="n">
        <x:v>25.231632554097345</x:v>
      </x:c>
      <x:c r="U80" s="13" t="n">
        <x:v>0.045591272985943405</x:v>
      </x:c>
      <x:c r="V80" s="13" t="n">
        <x:v>0.002078564172478813</x:v>
      </x:c>
      <x:c r="W80" s="13" t="n">
        <x:v>0.3404756158039197</x:v>
      </x:c>
      <x:c r="X80" s="13" t="n">
        <x:v>0.30081567776208396</x:v>
      </x:c>
      <x:c r="Y80" s="13" t="n">
        <x:v>-0.2685964267344153</x:v>
      </x:c>
      <x:c r="Z80" s="13" t="n">
        <x:v>0.7547226388150188</x:v>
      </x:c>
      <x:c r="AA80" s="13" t="n">
        <x:v>0.638335393981934</x:v>
      </x:c>
      <x:c r="AB80" s="13" t="n">
        <x:v>0.35715759860955454</x:v>
      </x:c>
      <x:c r="AC80" s="13" t="n">
        <x:v>0.06179094980602932</x:v>
      </x:c>
    </x:row>
    <x:row r="81">
      <x:c r="A81" s="13" t="str">
        <x:v>603288.SH</x:v>
      </x:c>
      <x:c r="B81" s="13" t="str">
        <x:v>海天味业</x:v>
      </x:c>
      <x:c r="C81" s="13" t="str">
        <x:v>民营企业</x:v>
      </x:c>
      <x:c r="D81" s="13" t="str">
        <x:v>日常消费--食品饮料--食品--食品加工与肉类</x:v>
      </x:c>
      <x:c r="E81" s="13" t="str">
        <x:v>食品饮料</x:v>
      </x:c>
      <x:c r="F81" s="13" t="n">
        <x:v>25520000</x:v>
      </x:c>
      <x:c r="G81" s="13" t="n">
        <x:v>7038465000</x:v>
      </x:c>
      <x:c r="H81" s="13" t="n">
        <x:v>52183944000</x:v>
      </x:c>
      <x:c r="I81" s="13" t="n">
        <x:v>23961000</x:v>
      </x:c>
      <x:c r="J81" s="13" t="n">
        <x:v>6344126000</x:v>
      </x:c>
      <x:c r="K81" s="13" t="n">
        <x:v>40858435000</x:v>
      </x:c>
      <x:c r="L81" s="13" t="n">
        <x:v>38423517000</x:v>
      </x:c>
      <x:c r="M81" s="13" t="n">
        <x:v>32842109000</x:v>
      </x:c>
      <x:c r="N81" s="13" t="n">
        <x:v>26900978000</x:v>
      </x:c>
      <x:c r="O81" s="13" t="n">
        <x:v>8985791000</x:v>
      </x:c>
      <x:c r="P81" s="13" t="n">
        <x:v>5685335000</x:v>
      </x:c>
      <x:c r="Q81" s="13" t="n">
        <x:v>9456491000</x:v>
      </x:c>
      <x:c r="R81" s="13" t="n">
        <x:v>1575700000</x:v>
      </x:c>
      <x:c r="S81" s="13" t="n">
        <x:v>0.13536702017003543</x:v>
      </x:c>
      <x:c r="T81" s="13" t="n">
        <x:v>24.43337912408499</x:v>
      </x:c>
      <x:c r="U81" s="13" t="n">
        <x:v>0.053510678823158755</x:v>
      </x:c>
      <x:c r="V81" s="13" t="n">
        <x:v>0.002863392748115251</x:v>
      </x:c>
      <x:c r="W81" s="13" t="n">
        <x:v>0.21624588016252744</x:v>
      </x:c>
      <x:c r="X81" s="13" t="n">
        <x:v>0.6786154306594268</x:v>
      </x:c>
      <x:c r="Y81" s="13" t="n">
        <x:v>0.5838774294708057</x:v>
      </x:c>
      <x:c r="Z81" s="13" t="n">
        <x:v>0.13914715529363766</x:v>
      </x:c>
      <x:c r="AA81" s="13" t="n">
        <x:v>0.23144525726450366</x:v>
      </x:c>
      <x:c r="AB81" s="13" t="n">
        <x:v>3.654893486839389</x:v>
      </x:c>
      <x:c r="AC81" s="13" t="n">
        <x:v>0.038564864268540874</x:v>
      </x:c>
    </x:row>
    <x:row r="82">
      <x:c r="A82" s="13" t="str">
        <x:v>603296.SH</x:v>
      </x:c>
      <x:c r="B82" s="13" t="str">
        <x:v>华勤技术</x:v>
      </x:c>
      <x:c r="C82" s="13" t="str">
        <x:v>民营企业</x:v>
      </x:c>
      <x:c r="D82" s="13" t="str">
        <x:v>信息技术--硬件设备--电脑与外围设备--电脑硬件、储存设备及电脑周边</x:v>
      </x:c>
      <x:c r="E82" s="13" t="str">
        <x:v>硬件设备</x:v>
      </x:c>
      <x:c r="F82" s="13" t="n">
        <x:v>308359000</x:v>
      </x:c>
      <x:c r="G82" s="13" t="n">
        <x:v>4081338000</x:v>
      </x:c>
      <x:c r="H82" s="13" t="n">
        <x:v>96205628000</x:v>
      </x:c>
      <x:c r="I82" s="13" t="n">
        <x:v>244092000</x:v>
      </x:c>
      <x:c r="J82" s="13" t="n">
        <x:v>2928940000</x:v>
      </x:c>
      <x:c r="K82" s="13" t="n">
        <x:v>76296823000</x:v>
      </x:c>
      <x:c r="L82" s="13" t="n">
        <x:v>51509636000</x:v>
      </x:c>
      <x:c r="M82" s="13" t="n">
        <x:v>56221556000</x:v>
      </x:c>
      <x:c r="N82" s="13" t="n">
        <x:v>109877987000</x:v>
      </x:c>
      <x:c r="O82" s="13" t="n">
        <x:v>49668933000</x:v>
      </x:c>
      <x:c r="P82" s="13" t="n">
        <x:v>9654042000</x:v>
      </x:c>
      <x:c r="Q82" s="13" t="n">
        <x:v>53372763000</x:v>
      </x:c>
      <x:c r="R82" s="13" t="n">
        <x:v>2066928000</x:v>
      </x:c>
      <x:c r="S82" s="13" t="n">
        <x:v>0.04562827654947588</x:v>
      </x:c>
      <x:c r="T82" s="13" t="n">
        <x:v>25.05789713609994</x:v>
      </x:c>
      <x:c r="U82" s="13" t="n">
        <x:v>0.22276856094434785</x:v>
      </x:c>
      <x:c r="V82" s="13" t="n">
        <x:v>0.04962583174521563</x:v>
      </x:c>
      <x:c r="W82" s="13" t="n">
        <x:v>0.12235054081259594</x:v>
      </x:c>
      <x:c r="X82" s="13" t="n">
        <x:v>1.7194434124804288</x:v>
      </x:c>
      <x:c r="Y82" s="13" t="n">
        <x:v>0.0858833008027084</x:v>
      </x:c>
      <x:c r="Z82" s="13" t="n">
        <x:v>0.12653268668867115</x:v>
      </x:c>
      <x:c r="AA82" s="13" t="n">
        <x:v>0.6995410936049067</x:v>
      </x:c>
      <x:c r="AB82" s="13" t="n">
        <x:v>1.1319259868135279</x:v>
      </x:c>
      <x:c r="AC82" s="13" t="n">
        <x:v>0.027090616866183276</x:v>
      </x:c>
    </x:row>
    <x:row r="83">
      <x:c r="A83" s="13" t="str">
        <x:v>603392.SH</x:v>
      </x:c>
      <x:c r="B83" s="13" t="str">
        <x:v>万泰生物</x:v>
      </x:c>
      <x:c r="C83" s="13" t="str">
        <x:v>民营企业</x:v>
      </x:c>
      <x:c r="D83" s="13" t="str">
        <x:v>医疗保健--医药生物--生物科技Ⅲ--生物科技Ⅳ</x:v>
      </x:c>
      <x:c r="E83" s="13" t="str">
        <x:v>医药生物</x:v>
      </x:c>
      <x:c r="F83" s="13" t="n">
        <x:v>-11369740.74</x:v>
      </x:c>
      <x:c r="G83" s="13" t="n">
        <x:v>-398267667.27</x:v>
      </x:c>
      <x:c r="H83" s="13" t="n">
        <x:v>14044056851.29</x:v>
      </x:c>
      <x:c r="I83" s="13" t="n">
        <x:v>-58067911.74</x:v>
      </x:c>
      <x:c r="J83" s="13" t="n">
        <x:v>106235425.64</x:v>
      </x:c>
      <x:c r="K83" s="13" t="n">
        <x:v>14689396309.47</x:v>
      </x:c>
      <x:c r="L83" s="13" t="n">
        <x:v>15714997884.5</x:v>
      </x:c>
      <x:c r="M83" s="13" t="n">
        <x:v>8374875235.8</x:v>
      </x:c>
      <x:c r="N83" s="13" t="n">
        <x:v>2222303008.76</x:v>
      </x:c>
      <x:c r="O83" s="13" t="n">
        <x:v>2012071700.24</x:v>
      </x:c>
      <x:c r="P83" s="13" t="n">
        <x:v>3416989497.18</x:v>
      </x:c>
      <x:c r="Q83" s="13" t="n">
        <x:v>2241436443.7</x:v>
      </x:c>
      <x:c r="R83" s="13" t="n">
        <x:v>887349661.68</x:v>
      </x:c>
      <x:c r="S83" s="13" t="n">
        <x:v>-0.029168025474944813</x:v>
      </x:c>
      <x:c r="T83" s="13" t="n">
        <x:v>23.410391730948753</x:v>
      </x:c>
      <x:c r="U83" s="13" t="n">
        <x:v>0.010741309854803227</x:v>
      </x:c>
      <x:c r="V83" s="13" t="n">
        <x:v>0.00011537573739689294</x:v>
      </x:c>
      <x:c r="W83" s="13" t="n">
        <x:v>0.13623235092080122</x:v>
      </x:c>
      <x:c r="X83" s="13" t="n">
        <x:v>0.14618301516435028</x:v>
      </x:c>
      <x:c r="Y83" s="13" t="n">
        <x:v>0.43315623062453634</x:v>
      </x:c>
      <x:c r="Z83" s="13" t="n">
        <x:v>0.23261606026499032</x:v>
      </x:c>
      <x:c r="AA83" s="13" t="n">
        <x:v>0.15258873792212854</x:v>
      </x:c>
      <x:c r="AB83" s="13" t="n">
        <x:v>4.162314511357147</x:v>
      </x:c>
      <x:c r="AC83" s="13" t="n">
        <x:v>0.06040749687636523</x:v>
      </x:c>
    </x:row>
    <x:row r="84">
      <x:c r="A84" s="13" t="str">
        <x:v>603501.SH</x:v>
      </x:c>
      <x:c r="B84" s="13" t="str">
        <x:v>豪威集团</x:v>
      </x:c>
      <x:c r="C84" s="13" t="str">
        <x:v>民营企业</x:v>
      </x:c>
      <x:c r="D84" s="13" t="str">
        <x:v>信息技术--半导体--半导体产品--集成电路</x:v>
      </x:c>
      <x:c r="E84" s="13" t="str">
        <x:v>半导体</x:v>
      </x:c>
      <x:c r="F84" s="13" t="n">
        <x:v>302467921.86</x:v>
      </x:c>
      <x:c r="G84" s="13" t="n">
        <x:v>4045416530.33</x:v>
      </x:c>
      <x:c r="H84" s="13" t="n">
        <x:v>43600508995.65</x:v>
      </x:c>
      <x:c r="I84" s="13" t="n">
        <x:v>326701000</x:v>
      </x:c>
      <x:c r="J84" s="13" t="n">
        <x:v>3317582000</x:v>
      </x:c>
      <x:c r="K84" s="13" t="n">
        <x:v>38964574000</x:v>
      </x:c>
      <x:c r="L84" s="13" t="n">
        <x:v>37743164000</x:v>
      </x:c>
      <x:c r="M84" s="13" t="n">
        <x:v>21804221000</x:v>
      </x:c>
      <x:c r="N84" s="13" t="n">
        <x:v>25706819000</x:v>
      </x:c>
      <x:c r="O84" s="13" t="n">
        <x:v>7595428000</x:v>
      </x:c>
      <x:c r="P84" s="13" t="n">
        <x:v>3527482000</x:v>
      </x:c>
      <x:c r="Q84" s="13" t="n">
        <x:v>14762184000</x:v>
      </x:c>
      <x:c r="R84" s="13" t="n">
        <x:v>1248619000</x:v>
      </x:c>
      <x:c r="S84" s="13" t="n">
        <x:v>0.09972095629947314</x:v>
      </x:c>
      <x:c r="T84" s="13" t="n">
        <x:v>24.38591871129368</x:v>
      </x:c>
      <x:c r="U84" s="13" t="n">
        <x:v>0.45221634028659474</x:v>
      </x:c>
      <x:c r="V84" s="13" t="n">
        <x:v>0.20449961842220124</x:v>
      </x:c>
      <x:c r="W84" s="13" t="n">
        <x:v>0.27301628783410753</x:v>
      </x:c>
      <x:c r="X84" s="13" t="n">
        <x:v>0.670253605966063</x:v>
      </x:c>
      <x:c r="Y84" s="13" t="n">
        <x:v>0.3646592671589326</x:v>
      </x:c>
      <x:c r="Z84" s="13" t="n">
        <x:v>0.09053049059384044</x:v>
      </x:c>
      <x:c r="AA84" s="13" t="n">
        <x:v>0.3788616808693969</x:v>
      </x:c>
      <x:c r="AB84" s="13" t="n">
        <x:v>2.870703402099263</x:v>
      </x:c>
      <x:c r="AC84" s="13" t="n">
        <x:v>0.03204498014016527</x:v>
      </x:c>
    </x:row>
    <x:row r="85">
      <x:c r="A85" s="13" t="str">
        <x:v>603799.SH</x:v>
      </x:c>
      <x:c r="B85" s="13" t="str">
        <x:v>华友钴业</x:v>
      </x:c>
      <x:c r="C85" s="13" t="str">
        <x:v>民营企业</x:v>
      </x:c>
      <x:c r="D85" s="13" t="str">
        <x:v>材料--有色金属--其他金属与采矿--金属非金属</x:v>
      </x:c>
      <x:c r="E85" s="13" t="str">
        <x:v>有色金属</x:v>
      </x:c>
      <x:c r="F85" s="13" t="n">
        <x:v>2399184377.14</x:v>
      </x:c>
      <x:c r="G85" s="13" t="n">
        <x:v>6110378757.84</x:v>
      </x:c>
      <x:c r="H85" s="13" t="n">
        <x:v>159437759775.5</x:v>
      </x:c>
      <x:c r="I85" s="13" t="n">
        <x:v>2069820526.37</x:v>
      </x:c>
      <x:c r="J85" s="13" t="n">
        <x:v>4154825193.75</x:v>
      </x:c>
      <x:c r="K85" s="13" t="n">
        <x:v>136591394324.44</x:v>
      </x:c>
      <x:c r="L85" s="13" t="n">
        <x:v>125520277340.78</x:v>
      </x:c>
      <x:c r="M85" s="13" t="n">
        <x:v>54099187514.34</x:v>
      </x:c>
      <x:c r="N85" s="13" t="n">
        <x:v>60502773799.04</x:v>
      </x:c>
      <x:c r="O85" s="13" t="n">
        <x:v>52342679453.44</x:v>
      </x:c>
      <x:c r="P85" s="13" t="n">
        <x:v>61000458013.9</x:v>
      </x:c>
      <x:c r="Q85" s="13" t="n">
        <x:v>87930768807.29</x:v>
      </x:c>
      <x:c r="R85" s="13" t="n">
        <x:v>6721574787.22</x:v>
      </x:c>
      <x:c r="S85" s="13" t="n">
        <x:v>0.05337232000099654</x:v>
      </x:c>
      <x:c r="T85" s="13" t="n">
        <x:v>25.640259783009554</x:v>
      </x:c>
      <x:c r="U85" s="13" t="n">
        <x:v>0.19818303404009233</x:v>
      </x:c>
      <x:c r="V85" s="13" t="n">
        <x:v>0.03927651498133639</x:v>
      </x:c>
      <x:c r="W85" s="13" t="n">
        <x:v>0.5317816081836909</x:v>
      </x:c>
      <x:c r="X85" s="13" t="n">
        <x:v>0.46165646432041896</x:v>
      </x:c>
      <x:c r="Y85" s="13" t="n">
        <x:v>0.012859580719469276</x:v>
      </x:c>
      <x:c r="Z85" s="13" t="n">
        <x:v>0.4465907849875819</x:v>
      </x:c>
      <x:c r="AA85" s="13" t="n">
        <x:v>0.6437504298289217</x:v>
      </x:c>
      <x:c r="AB85" s="13" t="n">
        <x:v>1.0335578552577243</x:v>
      </x:c>
      <x:c r="AC85" s="13" t="n">
        <x:v>0.04920935773782729</x:v>
      </x:c>
    </x:row>
    <x:row r="86">
      <x:c r="A86" s="13" t="str">
        <x:v>603893.SH</x:v>
      </x:c>
      <x:c r="B86" s="13" t="str">
        <x:v>瑞芯微</x:v>
      </x:c>
      <x:c r="C86" s="13" t="str">
        <x:v>民营企业</x:v>
      </x:c>
      <x:c r="D86" s="13" t="str">
        <x:v>信息技术--半导体--半导体产品--集成电路</x:v>
      </x:c>
      <x:c r="E86" s="13" t="str">
        <x:v>半导体</x:v>
      </x:c>
      <x:c r="F86" s="13" t="n">
        <x:v>-49904317.15</x:v>
      </x:c>
      <x:c r="G86" s="13" t="n">
        <x:v>1039952125</x:v>
      </x:c>
      <x:c r="H86" s="13" t="n">
        <x:v>5584701847.04</x:v>
      </x:c>
      <x:c r="I86" s="13" t="n">
        <x:v>-60739794.48</x:v>
      </x:c>
      <x:c r="J86" s="13" t="n">
        <x:v>594862210.27</x:v>
      </x:c>
      <x:c r="K86" s="13" t="n">
        <x:v>4265988219.99</x:v>
      </x:c>
      <x:c r="L86" s="13" t="n">
        <x:v>3507219550.74</x:v>
      </x:c>
      <x:c r="M86" s="13" t="n">
        <x:v>3618988782.77</x:v>
      </x:c>
      <x:c r="N86" s="13" t="n">
        <x:v>3124647739.06</x:v>
      </x:c>
      <x:c r="O86" s="13" t="n">
        <x:v>664194859.53</x:v>
      </x:c>
      <x:c r="P86" s="13" t="n">
        <x:v>37001324.93</x:v>
      </x:c>
      <x:c r="Q86" s="13" t="n">
        <x:v>720103928.08</x:v>
      </x:c>
      <x:c r="R86" s="13" t="n">
        <x:v>124807544.24</x:v>
      </x:c>
      <x:c r="S86" s="13" t="n">
        <x:v>0.17727854323588366</x:v>
      </x:c>
      <x:c r="T86" s="13" t="n">
        <x:v>22.17393969562045</x:v>
      </x:c>
      <x:c r="U86" s="13" t="n">
        <x:v>0.05496661275914752</x:v>
      </x:c>
      <x:c r="V86" s="13" t="n">
        <x:v>0.003021328518214079</x:v>
      </x:c>
      <x:c r="W86" s="13" t="n">
        <x:v>0.27301628783410753</x:v>
      </x:c>
      <x:c r="X86" s="13" t="n">
        <x:v>0.8039532278619531</x:v>
      </x:c>
      <x:c r="Y86" s="13" t="n">
        <x:v>0.6926399630908794</x:v>
      </x:c>
      <x:c r="Z86" s="13" t="n">
        <x:v>0.008673564722147014</x:v>
      </x:c>
      <x:c r="AA86" s="13" t="n">
        <x:v>0.16880119938111035</x:v>
      </x:c>
      <x:c r="AB86" s="13" t="n">
        <x:v>5.44868532305547</x:v>
      </x:c>
      <x:c r="AC86" s="13" t="n">
        <x:v>0.029256420272133935</x:v>
      </x:c>
    </x:row>
    <x:row r="87">
      <x:c r="A87" s="13" t="str">
        <x:v>603986.SH</x:v>
      </x:c>
      <x:c r="B87" s="13" t="str">
        <x:v>兆易创新</x:v>
      </x:c>
      <x:c r="C87" s="13" t="str">
        <x:v>民营企业</x:v>
      </x:c>
      <x:c r="D87" s="13" t="str">
        <x:v>信息技术--半导体--半导体产品--集成电路</x:v>
      </x:c>
      <x:c r="E87" s="13" t="str">
        <x:v>半导体</x:v>
      </x:c>
      <x:c r="F87" s="13" t="n">
        <x:v>22132000</x:v>
      </x:c>
      <x:c r="G87" s="13" t="n">
        <x:v>1648022000</x:v>
      </x:c>
      <x:c r="H87" s="13" t="n">
        <x:v>21396582000</x:v>
      </x:c>
      <x:c r="I87" s="13" t="n">
        <x:v>19253000</x:v>
      </x:c>
      <x:c r="J87" s="13" t="n">
        <x:v>1102543000</x:v>
      </x:c>
      <x:c r="K87" s="13" t="n">
        <x:v>19228830000</x:v>
      </x:c>
      <x:c r="L87" s="13" t="n">
        <x:v>16455780000</x:v>
      </x:c>
      <x:c r="M87" s="13" t="n">
        <x:v>12434797000</x:v>
      </x:c>
      <x:c r="N87" s="13" t="n">
        <x:v>7355978000</x:v>
      </x:c>
      <x:c r="O87" s="13" t="n">
        <x:v>2330507000</x:v>
      </x:c>
      <x:c r="P87" s="13" t="n">
        <x:v>1089489000</x:v>
      </x:c>
      <x:c r="Q87" s="13" t="n">
        <x:v>2550053000</x:v>
      </x:c>
      <x:c r="R87" s="13" t="n">
        <x:v>499018000</x:v>
      </x:c>
      <x:c r="S87" s="13" t="n">
        <x:v>0.07805704668156811</x:v>
      </x:c>
      <x:c r="T87" s="13" t="n">
        <x:v>23.679676552262425</x:v>
      </x:c>
      <x:c r="U87" s="13" t="n">
        <x:v>0.12940120869831093</x:v>
      </x:c>
      <x:c r="V87" s="13" t="n">
        <x:v>0.01674467281258382</x:v>
      </x:c>
      <x:c r="W87" s="13" t="n">
        <x:v>0.27301628783410753</x:v>
      </x:c>
      <x:c r="X87" s="13" t="n">
        <x:v>0.41227733748526324</x:v>
      </x:c>
      <x:c r="Y87" s="13" t="n">
        <x:v>0.5254760690067987</x:v>
      </x:c>
      <x:c r="Z87" s="13" t="n">
        <x:v>0.05665914150782965</x:v>
      </x:c>
      <x:c r="AA87" s="13" t="n">
        <x:v>0.13261612901044942</x:v>
      </x:c>
      <x:c r="AB87" s="13" t="n">
        <x:v>5.335661725109601</x:v>
      </x:c>
      <x:c r="AC87" s="13" t="n">
        <x:v>0.025951552954599943</x:v>
      </x:c>
    </x:row>
    <x:row r="88">
      <x:c r="A88" s="13" t="str">
        <x:v>603993.SH</x:v>
      </x:c>
      <x:c r="B88" s="13" t="str">
        <x:v>洛阳钼业</x:v>
      </x:c>
      <x:c r="C88" s="13" t="str">
        <x:v>民营企业</x:v>
      </x:c>
      <x:c r="D88" s="13" t="str">
        <x:v>材料--有色金属--其他金属与采矿--金属非金属</x:v>
      </x:c>
      <x:c r="E88" s="13" t="str">
        <x:v>有色金属</x:v>
      </x:c>
      <x:c r="F88" s="13" t="n">
        <x:v>2630714020.64</x:v>
      </x:c>
      <x:c r="G88" s="13" t="n">
        <x:v>20338750797.53</x:v>
      </x:c>
      <x:c r="H88" s="13" t="n">
        <x:v>200932364610.99</x:v>
      </x:c>
      <x:c r="I88" s="13" t="n">
        <x:v>4043301643.47</x:v>
      </x:c>
      <x:c r="J88" s="13" t="n">
        <x:v>13532035002.94</x:v>
      </x:c>
      <x:c r="K88" s="13" t="n">
        <x:v>170236431691.82</x:v>
      </x:c>
      <x:c r="L88" s="13" t="n">
        <x:v>172974530702.61</x:v>
      </x:c>
      <x:c r="M88" s="13" t="n">
        <x:v>79174392805.23</x:v>
      </x:c>
      <x:c r="N88" s="13" t="n">
        <x:v>213028664834.79</x:v>
      </x:c>
      <x:c r="O88" s="13" t="n">
        <x:v>45460596967.02</x:v>
      </x:c>
      <x:c r="P88" s="13" t="n">
        <x:v>48476813084.46</x:v>
      </x:c>
      <x:c r="Q88" s="13" t="n">
        <x:v>84294195547.05</x:v>
      </x:c>
      <x:c r="R88" s="13" t="n">
        <x:v>4901319114.82</x:v>
      </x:c>
      <x:c r="S88" s="13" t="n">
        <x:v>0.11431441053629886</x:v>
      </x:c>
      <x:c r="T88" s="13" t="n">
        <x:v>25.860454082423132</x:v>
      </x:c>
      <x:c r="U88" s="13" t="n">
        <x:v>0.6977972162846274</x:v>
      </x:c>
      <x:c r="V88" s="13" t="n">
        <x:v>0.4869209550545751</x:v>
      </x:c>
      <x:c r="W88" s="13" t="n">
        <x:v>0.5317816081836909</x:v>
      </x:c>
      <x:c r="X88" s="13" t="n">
        <x:v>1.2413861337562409</x:v>
      </x:c>
      <x:c r="Y88" s="13" t="n">
        <x:v>0.19804101568131008</x:v>
      </x:c>
      <x:c r="Z88" s="13" t="n">
        <x:v>0.28476168469166374</x:v>
      </x:c>
      <x:c r="AA88" s="13" t="n">
        <x:v>0.49515955374140047</x:v>
      </x:c>
      <x:c r="AB88" s="13" t="n">
        <x:v>1.7416047761684283</x:v>
      </x:c>
      <x:c r="AC88" s="13" t="n">
        <x:v>0.028791246774326696</x:v>
      </x:c>
    </x:row>
    <x:row r="89">
      <x:c r="A89" s="13" t="str">
        <x:v>605117.SH</x:v>
      </x:c>
      <x:c r="B89" s="13" t="str">
        <x:v>德业股份</x:v>
      </x:c>
      <x:c r="C89" s="13" t="str">
        <x:v>民营企业</x:v>
      </x:c>
      <x:c r="D89" s="13" t="str">
        <x:v>工业--电气设备--电气设备Ⅲ--光伏设备</x:v>
      </x:c>
      <x:c r="E89" s="13" t="str">
        <x:v>电气设备</x:v>
      </x:c>
      <x:c r="F89" s="13" t="n">
        <x:v>-129277566.96</x:v>
      </x:c>
      <x:c r="G89" s="13" t="n">
        <x:v>3170769705.42</x:v>
      </x:c>
      <x:c r="H89" s="13" t="n">
        <x:v>19906773218.39</x:v>
      </x:c>
      <x:c r="I89" s="13" t="n">
        <x:v>43579000</x:v>
      </x:c>
      <x:c r="J89" s="13" t="n">
        <x:v>2960347000</x:v>
      </x:c>
      <x:c r="K89" s="13" t="n">
        <x:v>15114421000</x:v>
      </x:c>
      <x:c r="L89" s="13" t="n">
        <x:v>10817385000</x:v>
      </x:c>
      <x:c r="M89" s="13" t="n">
        <x:v>10814777000</x:v>
      </x:c>
      <x:c r="N89" s="13" t="n">
        <x:v>11206468000</x:v>
      </x:c>
      <x:c r="O89" s="13" t="n">
        <x:v>5510273000</x:v>
      </x:c>
      <x:c r="P89" s="13" t="n">
        <x:v>2413247000</x:v>
      </x:c>
      <x:c r="Q89" s="13" t="n">
        <x:v>5659705000</x:v>
      </x:c>
      <x:c r="R89" s="13" t="n">
        <x:v>462415000</x:v>
      </x:c>
      <x:c r="S89" s="13" t="n">
        <x:v>0.1527867979954808</x:v>
      </x:c>
      <x:c r="T89" s="13" t="n">
        <x:v>23.4389151581259</x:v>
      </x:c>
      <x:c r="U89" s="13" t="n">
        <x:v>0.009962133908092799</x:v>
      </x:c>
      <x:c r="V89" s="13" t="n">
        <x:v>0.00009924411200277229</x:v>
      </x:c>
      <x:c r="W89" s="13" t="n">
        <x:v>0.14616578354193543</x:v>
      </x:c>
      <x:c r="X89" s="13" t="n">
        <x:v>0.8643029336252168</x:v>
      </x:c>
      <x:c r="Y89" s="13" t="n">
        <x:v>0.35095648056912004</x:v>
      </x:c>
      <x:c r="Z89" s="13" t="n">
        <x:v>0.15966519656955433</x:v>
      </x:c>
      <x:c r="AA89" s="13" t="n">
        <x:v>0.37445728155911495</x:v>
      </x:c>
      <x:c r="AB89" s="13" t="n">
        <x:v>1.962657204098599</x:v>
      </x:c>
      <x:c r="AC89" s="13" t="n">
        <x:v>0.030594291372458133</x:v>
      </x:c>
    </x:row>
    <x:row r="90">
      <x:c r="A90" s="13" t="str">
        <x:v>605499.SH</x:v>
      </x:c>
      <x:c r="B90" s="13" t="str">
        <x:v>东鹏饮料</x:v>
      </x:c>
      <x:c r="C90" s="13" t="str">
        <x:v>民营企业</x:v>
      </x:c>
      <x:c r="D90" s="13" t="str">
        <x:v>日常消费--食品饮料--饮料--软饮料</x:v>
      </x:c>
      <x:c r="E90" s="13" t="str">
        <x:v>食品饮料</x:v>
      </x:c>
      <x:c r="F90" s="13" t="n">
        <x:v>101132000</x:v>
      </x:c>
      <x:c r="G90" s="13" t="n">
        <x:v>4415263000</x:v>
      </x:c>
      <x:c r="H90" s="13" t="n">
        <x:v>26720736000</x:v>
      </x:c>
      <x:c r="I90" s="13" t="n">
        <x:v>102876000</x:v>
      </x:c>
      <x:c r="J90" s="13" t="n">
        <x:v>3326710000</x:v>
      </x:c>
      <x:c r="K90" s="13" t="n">
        <x:v>22676297000</x:v>
      </x:c>
      <x:c r="L90" s="13" t="n">
        <x:v>14710050000</x:v>
      </x:c>
      <x:c r="M90" s="13" t="n">
        <x:v>12705625000</x:v>
      </x:c>
      <x:c r="N90" s="13" t="n">
        <x:v>15830336000</x:v>
      </x:c>
      <x:c r="O90" s="13" t="n">
        <x:v>14845042000</x:v>
      </x:c>
      <x:c r="P90" s="13" t="n">
        <x:v>4279051000</x:v>
      </x:c>
      <x:c r="Q90" s="13" t="n">
        <x:v>14984716000</x:v>
      </x:c>
      <x:c r="R90" s="13" t="n">
        <x:v>1324489000</x:v>
      </x:c>
      <x:c r="S90" s="13" t="n">
        <x:v>0.1690221032833826</x:v>
      </x:c>
      <x:c r="T90" s="13" t="n">
        <x:v>23.844586030870765</x:v>
      </x:c>
      <x:c r="U90" s="13" t="n">
        <x:v>0.031489265013290135</x:v>
      </x:c>
      <x:c r="V90" s="13" t="n">
        <x:v>0.0009915738110772181</x:v>
      </x:c>
      <x:c r="W90" s="13" t="n">
        <x:v>0.21624588016252744</x:v>
      </x:c>
      <x:c r="X90" s="13" t="n">
        <x:v>0.8468511780517096</x:v>
      </x:c>
      <x:c r="Y90" s="13" t="n">
        <x:v>-0.09434595957179429</x:v>
      </x:c>
      <x:c r="Z90" s="13" t="n">
        <x:v>0.18870148860724484</x:v>
      </x:c>
      <x:c r="AA90" s="13" t="n">
        <x:v>0.6608096551213807</x:v>
      </x:c>
      <x:c r="AB90" s="13" t="n">
        <x:v>0.855883398645824</x:v>
      </x:c>
      <x:c r="AC90" s="13" t="n">
        <x:v>0.058408522343837706</x:v>
      </x:c>
    </x:row>
    <x:row r="91">
      <x:c r="A91" s="13" t="str">
        <x:v>688036.SH</x:v>
      </x:c>
      <x:c r="B91" s="13" t="str">
        <x:v>传音控股</x:v>
      </x:c>
      <x:c r="C91" s="13" t="str">
        <x:v>民营企业</x:v>
      </x:c>
      <x:c r="D91" s="13" t="str">
        <x:v>信息技术--硬件设备--通信设备Ⅲ--通信设备Ⅳ</x:v>
      </x:c>
      <x:c r="E91" s="13" t="str">
        <x:v>硬件设备</x:v>
      </x:c>
      <x:c r="F91" s="13" t="n">
        <x:v>133243916.08</x:v>
      </x:c>
      <x:c r="G91" s="13" t="n">
        <x:v>2580636983</x:v>
      </x:c>
      <x:c r="H91" s="13" t="n">
        <x:v>44382261831.55</x:v>
      </x:c>
      <x:c r="I91" s="13" t="n">
        <x:v>81966000</x:v>
      </x:c>
      <x:c r="J91" s="13" t="n">
        <x:v>5548950000</x:v>
      </x:c>
      <x:c r="K91" s="13" t="n">
        <x:v>45062400000</x:v>
      </x:c>
      <x:c r="L91" s="13" t="n">
        <x:v>46121001000</x:v>
      </x:c>
      <x:c r="M91" s="13" t="n">
        <x:v>38809119000</x:v>
      </x:c>
      <x:c r="N91" s="13" t="n">
        <x:v>68715279000</x:v>
      </x:c>
      <x:c r="O91" s="13" t="n">
        <x:v>23985382000</x:v>
      </x:c>
      <x:c r="P91" s="13" t="n">
        <x:v>2792055000</x:v>
      </x:c>
      <x:c r="Q91" s="13" t="n">
        <x:v>24716864000</x:v>
      </x:c>
      <x:c r="R91" s="13"/>
      <x:c r="S91" s="13" t="n">
        <x:v>0.06114787275556976</x:v>
      </x:c>
      <x:c r="T91" s="13" t="n">
        <x:v>24.531314032849032</x:v>
      </x:c>
      <x:c r="U91" s="13" t="n">
        <x:v>0.13931456368707743</x:v>
      </x:c>
      <x:c r="V91" s="13" t="n">
        <x:v>0.01940854765532075</x:v>
      </x:c>
      <x:c r="W91" s="13" t="n">
        <x:v>0.12235054081259594</x:v>
      </x:c>
      <x:c r="X91" s="13" t="n">
        <x:v>1.507188331349913</x:v>
      </x:c>
      <x:c r="Y91" s="13" t="n">
        <x:v>0.32896021960659</x:v>
      </x:c>
      <x:c r="Z91" s="13" t="n">
        <x:v>0.06195974914784832</x:v>
      </x:c>
      <x:c r="AA91" s="13" t="n">
        <x:v>0.5485030535435308</x:v>
      </x:c>
      <x:c r="AB91" s="13" t="n">
        <x:v>1.6180321414101306</x:v>
      </x:c>
      <x:c r="AC91" s="13"/>
    </x:row>
    <x:row r="92">
      <x:c r="A92" s="13" t="str">
        <x:v>688047.SH</x:v>
      </x:c>
      <x:c r="B92" s="13" t="str">
        <x:v>龙芯中科</x:v>
      </x:c>
      <x:c r="C92" s="13" t="str">
        <x:v>民营企业</x:v>
      </x:c>
      <x:c r="D92" s="13" t="str">
        <x:v>信息技术--半导体--半导体产品--集成电路</x:v>
      </x:c>
      <x:c r="E92" s="13" t="str">
        <x:v>半导体</x:v>
      </x:c>
      <x:c r="F92" s="13" t="n">
        <x:v>-1502303.27</x:v>
      </x:c>
      <x:c r="G92" s="13" t="n">
        <x:v>-455140256.17</x:v>
      </x:c>
      <x:c r="H92" s="13" t="n">
        <x:v>3161870916.43</x:v>
      </x:c>
      <x:c r="I92" s="13" t="n">
        <x:v>-5553627.18</x:v>
      </x:c>
      <x:c r="J92" s="13" t="n">
        <x:v>-625347147.32</x:v>
      </x:c>
      <x:c r="K92" s="13" t="n">
        <x:v>3497483392.2</x:v>
      </x:c>
      <x:c r="L92" s="13" t="n">
        <x:v>4112088980.64</x:v>
      </x:c>
      <x:c r="M92" s="13" t="n">
        <x:v>2601184867.17</x:v>
      </x:c>
      <x:c r="N92" s="13" t="n">
        <x:v>501918584.8</x:v>
      </x:c>
      <x:c r="O92" s="13" t="n">
        <x:v>385356001.17</x:v>
      </x:c>
      <x:c r="P92" s="13" t="n">
        <x:v>305108290.57</x:v>
      </x:c>
      <x:c r="Q92" s="13" t="n">
        <x:v>561086316.99</x:v>
      </x:c>
      <x:c r="R92" s="13" t="n">
        <x:v>71634807.1</x:v>
      </x:c>
      <x:c r="S92" s="13" t="n">
        <x:v>-0.14442163247941356</x:v>
      </x:c>
      <x:c r="T92" s="13" t="n">
        <x:v>21.97530951601515</x:v>
      </x:c>
      <x:c r="U92" s="13" t="n">
        <x:v>0.008829399916811288</x:v>
      </x:c>
      <x:c r="V92" s="13" t="n">
        <x:v>0.00007795830289098718</x:v>
      </x:c>
      <x:c r="W92" s="13" t="n">
        <x:v>0.27301628783410753</x:v>
      </x:c>
      <x:c r="X92" s="13" t="n">
        <x:v>0.13191768478119537</x:v>
      </x:c>
      <x:c r="Y92" s="13" t="n">
        <x:v>0.6335495033204979</x:v>
      </x:c>
      <x:c r="Z92" s="13" t="n">
        <x:v>0.08723652305267407</x:v>
      </x:c>
      <x:c r="AA92" s="13" t="n">
        <x:v>0.160425727321914</x:v>
      </x:c>
      <x:c r="AB92" s="13" t="n">
        <x:v>6.750082674909443</x:v>
      </x:c>
      <x:c r="AC92" s="13" t="n">
        <x:v>0.020481814798537185</x:v>
      </x:c>
    </x:row>
    <x:row r="93">
      <x:c r="A93" s="13" t="str">
        <x:v>688111.SH</x:v>
      </x:c>
      <x:c r="B93" s="13" t="str">
        <x:v>金山办公</x:v>
      </x:c>
      <x:c r="C93" s="13" t="str">
        <x:v>民营企业</x:v>
      </x:c>
      <x:c r="D93" s="13" t="str">
        <x:v>信息技术--软件服务--软件--应用软件</x:v>
      </x:c>
      <x:c r="E93" s="13" t="str">
        <x:v>软件服务</x:v>
      </x:c>
      <x:c r="F93" s="13" t="n">
        <x:v>488890.74</x:v>
      </x:c>
      <x:c r="G93" s="13" t="n">
        <x:v>1836468727.81</x:v>
      </x:c>
      <x:c r="H93" s="13" t="n">
        <x:v>18155801690.14</x:v>
      </x:c>
      <x:c r="I93" s="13" t="n">
        <x:v>-15812274.93</x:v>
      </x:c>
      <x:c r="J93" s="13" t="n">
        <x:v>1645080509.02</x:v>
      </x:c>
      <x:c r="K93" s="13" t="n">
        <x:v>15912888756.23</x:v>
      </x:c>
      <x:c r="L93" s="13" t="n">
        <x:v>13974021307.95</x:v>
      </x:c>
      <x:c r="M93" s="13" t="n">
        <x:v>6104701854.86</x:v>
      </x:c>
      <x:c r="N93" s="13" t="n">
        <x:v>5071668434</x:v>
      </x:c>
      <x:c r="O93" s="13" t="n">
        <x:v>3462333138.5</x:v>
      </x:c>
      <x:c r="P93" s="13" t="n">
        <x:v>431610661.97</x:v>
      </x:c>
      <x:c r="Q93" s="13" t="n">
        <x:v>4476319129.69</x:v>
      </x:c>
      <x:c r="R93" s="13" t="n">
        <x:v>174991782.07</x:v>
      </x:c>
      <x:c r="S93" s="13" t="n">
        <x:v>0.10117744453816158</x:v>
      </x:c>
      <x:c r="T93" s="13" t="n">
        <x:v>23.490395231402207</x:v>
      </x:c>
      <x:c r="U93" s="13" t="n">
        <x:v>0.059152403129921774</x:v>
      </x:c>
      <x:c r="V93" s="13" t="n">
        <x:v>0.0034990067960447794</x:v>
      </x:c>
      <x:c r="W93" s="13" t="n">
        <x:v>0.23288063539086398</x:v>
      </x:c>
      <x:c r="X93" s="13" t="n">
        <x:v>0.33939061770580864</x:v>
      </x:c>
      <x:c r="Y93" s="13" t="n">
        <x:v>0.16605210762411038</x:v>
      </x:c>
      <x:c r="Z93" s="13" t="n">
        <x:v>0.027123338105472624</x:v>
      </x:c>
      <x:c r="AA93" s="13" t="n">
        <x:v>0.2813014782081909</x:v>
      </x:c>
      <x:c r="AB93" s="13" t="n">
        <x:v>1.7631757576929075</x:v>
      </x:c>
      <x:c r="AC93" s="13" t="n">
        <x:v>0.010996858254381348</x:v>
      </x:c>
    </x:row>
    <x:row r="94">
      <x:c r="A94" s="13" t="str">
        <x:v>688169.SH</x:v>
      </x:c>
      <x:c r="B94" s="13" t="str">
        <x:v>石头科技</x:v>
      </x:c>
      <x:c r="C94" s="13" t="str">
        <x:v>民营企业</x:v>
      </x:c>
      <x:c r="D94" s="13" t="str">
        <x:v>可选消费--家电Ⅱ--家电Ⅲ--家用电器</x:v>
      </x:c>
      <x:c r="E94" s="13" t="str">
        <x:v>家电Ⅱ</x:v>
      </x:c>
      <x:c r="F94" s="13" t="n">
        <x:v>-152791423</x:v>
      </x:c>
      <x:c r="G94" s="13" t="n">
        <x:v>1363322277</x:v>
      </x:c>
      <x:c r="H94" s="13" t="n">
        <x:v>19669397566</x:v>
      </x:c>
      <x:c r="I94" s="13" t="n">
        <x:v>10323000</x:v>
      </x:c>
      <x:c r="J94" s="13" t="n">
        <x:v>1976563000</x:v>
      </x:c>
      <x:c r="K94" s="13" t="n">
        <x:v>17484730000</x:v>
      </x:c>
      <x:c r="L94" s="13" t="n">
        <x:v>14376642000</x:v>
      </x:c>
      <x:c r="M94" s="13" t="n">
        <x:v>11752453000</x:v>
      </x:c>
      <x:c r="N94" s="13" t="n">
        <x:v>11918473000</x:v>
      </x:c>
      <x:c r="O94" s="13" t="n">
        <x:v>4427367000</x:v>
      </x:c>
      <x:c r="P94" s="13" t="n">
        <x:v>1397852000</x:v>
      </x:c>
      <x:c r="Q94" s="13" t="n">
        <x:v>4614546000</x:v>
      </x:c>
      <x:c r="R94" s="13" t="n">
        <x:v>292545000</x:v>
      </x:c>
      <x:c r="S94" s="13" t="n">
        <x:v>0.06154387036705647</x:v>
      </x:c>
      <x:c r="T94" s="13" t="n">
        <x:v>23.58459376553526</x:v>
      </x:c>
      <x:c r="U94" s="13" t="n">
        <x:v>0.022846423097762324</x:v>
      </x:c>
      <x:c r="V94" s="13" t="n">
        <x:v>0.0005219590483619678</x:v>
      </x:c>
      <x:c r="W94" s="13" t="n">
        <x:v>0.6526875314442925</x:v>
      </x:c>
      <x:c r="X94" s="13" t="n">
        <x:v>0.7481456228564168</x:v>
      </x:c>
      <x:c r="Y94" s="13" t="n">
        <x:v>0.4189418995889556</x:v>
      </x:c>
      <x:c r="Z94" s="13" t="n">
        <x:v>0.07994701662536396</x:v>
      </x:c>
      <x:c r="AA94" s="13" t="n">
        <x:v>0.26391863071377136</x:v>
      </x:c>
      <x:c r="AB94" s="13" t="n">
        <x:v>2.654501648496725</x:v>
      </x:c>
      <x:c r="AC94" s="13" t="n">
        <x:v>0.01673145653378691</x:v>
      </x:c>
    </x:row>
    <x:row r="95">
      <x:c r="A95" s="13" t="str">
        <x:v>688223.SH</x:v>
      </x:c>
      <x:c r="B95" s="13" t="str">
        <x:v>晶科能源</x:v>
      </x:c>
      <x:c r="C95" s="13" t="str">
        <x:v>民营企业</x:v>
      </x:c>
      <x:c r="D95" s="13" t="str">
        <x:v>工业--电气设备--电气设备Ⅲ--光伏设备</x:v>
      </x:c>
      <x:c r="E95" s="13" t="str">
        <x:v>电气设备</x:v>
      </x:c>
      <x:c r="F95" s="13" t="n">
        <x:v>1370318563.85</x:v>
      </x:c>
      <x:c r="G95" s="13" t="n">
        <x:v>-6881512301.12</x:v>
      </x:c>
      <x:c r="H95" s="13" t="n">
        <x:v>117962654800.03</x:v>
      </x:c>
      <x:c r="I95" s="13" t="n">
        <x:v>654704290.46</x:v>
      </x:c>
      <x:c r="J95" s="13" t="n">
        <x:v>98927562.18</x:v>
      </x:c>
      <x:c r="K95" s="13" t="n">
        <x:v>121109877893.38</x:v>
      </x:c>
      <x:c r="L95" s="13" t="n">
        <x:v>132116541807.07</x:v>
      </x:c>
      <x:c r="M95" s="13" t="n">
        <x:v>68790452676.93</x:v>
      </x:c>
      <x:c r="N95" s="13" t="n">
        <x:v>92045573706.01</x:v>
      </x:c>
      <x:c r="O95" s="13" t="n">
        <x:v>50089550175.28</x:v>
      </x:c>
      <x:c r="P95" s="13" t="n">
        <x:v>44470422332.14</x:v>
      </x:c>
      <x:c r="Q95" s="13" t="n">
        <x:v>87188831757.13</x:v>
      </x:c>
      <x:c r="R95" s="13" t="n">
        <x:v>9185144471.05</x:v>
      </x:c>
      <x:c r="S95" s="13" t="n">
        <x:v>-0.04671981778142042</x:v>
      </x:c>
      <x:c r="T95" s="13" t="n">
        <x:v>25.519964052249815</x:v>
      </x:c>
      <x:c r="U95" s="13" t="n">
        <x:v>0.08182509698028827</x:v>
      </x:c>
      <x:c r="V95" s="13" t="n">
        <x:v>0.00669534649583358</x:v>
      </x:c>
      <x:c r="W95" s="13" t="n">
        <x:v>0.14616578354193543</x:v>
      </x:c>
      <x:c r="X95" s="13" t="n">
        <x:v>0.7269823884482021</x:v>
      </x:c>
      <x:c r="Y95" s="13" t="n">
        <x:v>0.154412693885411</x:v>
      </x:c>
      <x:c r="Z95" s="13" t="n">
        <x:v>0.36719071231571937</x:v>
      </x:c>
      <x:c r="AA95" s="13" t="n">
        <x:v>0.7199151157091196</x:v>
      </x:c>
      <x:c r="AB95" s="13" t="n">
        <x:v>1.373349379984634</x:v>
      </x:c>
      <x:c r="AC95" s="13" t="n">
        <x:v>0.07584141467912478</x:v>
      </x:c>
    </x:row>
    <x:row r="96">
      <x:c r="A96" s="13" t="str">
        <x:v>688256.SH</x:v>
      </x:c>
      <x:c r="B96" s="13" t="str">
        <x:v>寒武纪</x:v>
      </x:c>
      <x:c r="C96" s="13" t="str">
        <x:v>民营企业</x:v>
      </x:c>
      <x:c r="D96" s="13" t="str">
        <x:v>信息技术--半导体--半导体产品--集成电路</x:v>
      </x:c>
      <x:c r="E96" s="13" t="str">
        <x:v>半导体</x:v>
      </x:c>
      <x:c r="F96" s="13" t="n">
        <x:v>10961179.66</x:v>
      </x:c>
      <x:c r="G96" s="13" t="n">
        <x:v>2059228538.67</x:v>
      </x:c>
      <x:c r="H96" s="13" t="n">
        <x:v>13437714065.91</x:v>
      </x:c>
      <x:c r="I96" s="13" t="n">
        <x:v>-19318560.1</x:v>
      </x:c>
      <x:c r="J96" s="13" t="n">
        <x:v>-452338791.01</x:v>
      </x:c>
      <x:c r="K96" s="13" t="n">
        <x:v>6717812509.7</x:v>
      </x:c>
      <x:c r="L96" s="13" t="n">
        <x:v>6418036122.33</x:v>
      </x:c>
      <x:c r="M96" s="13" t="n">
        <x:v>5800316619.44</x:v>
      </x:c>
      <x:c r="N96" s="13" t="n">
        <x:v>1171492948.52</x:v>
      </x:c>
      <x:c r="O96" s="13" t="n">
        <x:v>818135979.38</x:v>
      </x:c>
      <x:c r="P96" s="13" t="n">
        <x:v>381652707.34</x:v>
      </x:c>
      <x:c r="Q96" s="13" t="n">
        <x:v>1287332938.05</x:v>
      </x:c>
      <x:c r="R96" s="13" t="n">
        <x:v>366049335.22</x:v>
      </x:c>
      <x:c r="S96" s="13" t="n">
        <x:v>0.15405817597963656</x:v>
      </x:c>
      <x:c r="T96" s="13" t="n">
        <x:v>22.62802841909865</x:v>
      </x:c>
      <x:c r="U96" s="13" t="n">
        <x:v>0.0206080827756739</x:v>
      </x:c>
      <x:c r="V96" s="13" t="n">
        <x:v>0.0004246930756890273</x:v>
      </x:c>
      <x:c r="W96" s="13" t="n">
        <x:v>0.27301628783410753</x:v>
      </x:c>
      <x:c r="X96" s="13" t="n">
        <x:v>0.17836578074803208</x:v>
      </x:c>
      <x:c r="Y96" s="13" t="n">
        <x:v>0.7416373459167128</x:v>
      </x:c>
      <x:c r="Z96" s="13" t="n">
        <x:v>0.056812051064081215</x:v>
      </x:c>
      <x:c r="AA96" s="13" t="n">
        <x:v>0.19162978070483377</x:v>
      </x:c>
      <x:c r="AB96" s="13" t="n">
        <x:v>7.0896730685718</x:v>
      </x:c>
      <x:c r="AC96" s="13" t="n">
        <x:v>0.05448936460960368</x:v>
      </x:c>
    </x:row>
    <x:row r="97">
      <x:c r="A97" s="13" t="str">
        <x:v>688271.SH</x:v>
      </x:c>
      <x:c r="B97" s="13" t="str">
        <x:v>联影医疗</x:v>
      </x:c>
      <x:c r="C97" s="13" t="str">
        <x:v>民营企业</x:v>
      </x:c>
      <x:c r="D97" s="13" t="str">
        <x:v>医疗保健--医疗设备与服务--医疗保健设备与用品--医疗保健设备</x:v>
      </x:c>
      <x:c r="E97" s="13" t="str">
        <x:v>医疗设备与服务</x:v>
      </x:c>
      <x:c r="F97" s="13" t="n">
        <x:v>-30626038.58</x:v>
      </x:c>
      <x:c r="G97" s="13" t="n">
        <x:v>1869300805.65</x:v>
      </x:c>
      <x:c r="H97" s="13" t="n">
        <x:v>32784579366.01</x:v>
      </x:c>
      <x:c r="I97" s="13" t="n">
        <x:v>-112290178.67</x:v>
      </x:c>
      <x:c r="J97" s="13" t="n">
        <x:v>1261869451.27</x:v>
      </x:c>
      <x:c r="K97" s="13" t="n">
        <x:v>28035688872.48</x:v>
      </x:c>
      <x:c r="L97" s="13" t="n">
        <x:v>25336140321.96</x:v>
      </x:c>
      <x:c r="M97" s="13" t="n">
        <x:v>20893841318.46</x:v>
      </x:c>
      <x:c r="N97" s="13" t="n">
        <x:v>10243323210.94</x:v>
      </x:c>
      <x:c r="O97" s="13" t="n">
        <x:v>7075747152.06</x:v>
      </x:c>
      <x:c r="P97" s="13" t="n">
        <x:v>4714107765.24</x:v>
      </x:c>
      <x:c r="Q97" s="13" t="n">
        <x:v>8129447799.81</x:v>
      </x:c>
      <x:c r="R97" s="13" t="n">
        <x:v>1945732817.3</x:v>
      </x:c>
      <x:c r="S97" s="13" t="n">
        <x:v>0.056083524712727574</x:v>
      </x:c>
      <x:c r="T97" s="13" t="n">
        <x:v>24.056744138093894</x:v>
      </x:c>
      <x:c r="U97" s="13" t="n">
        <x:v>0.08975416603781418</x:v>
      </x:c>
      <x:c r="V97" s="13" t="n">
        <x:v>0.008055810321143516</x:v>
      </x:c>
      <x:c r="W97" s="13" t="n">
        <x:v>0.28019975017592524</x:v>
      </x:c>
      <x:c r="X97" s="13" t="n">
        <x:v>0.3838475602409031</x:v>
      </x:c>
      <x:c r="Y97" s="13" t="n">
        <x:v>0.49287514315240966</x:v>
      </x:c>
      <x:c r="Z97" s="13" t="n">
        <x:v>0.16814667143304604</x:v>
      </x:c>
      <x:c r="AA97" s="13" t="n">
        <x:v>0.28996782767802487</x:v>
      </x:c>
      <x:c r="AB97" s="13" t="n">
        <x:v>2.9528812815727967</x:v>
      </x:c>
      <x:c r="AC97" s="13" t="n">
        <x:v>0.06940199779467317</x:v>
      </x:c>
    </x:row>
    <x:row r="98">
      <x:c r="A98" s="13" t="str">
        <x:v>688303.SH</x:v>
      </x:c>
      <x:c r="B98" s="13" t="str">
        <x:v>大全能源</x:v>
      </x:c>
      <x:c r="C98" s="13" t="str">
        <x:v>民营企业</x:v>
      </x:c>
      <x:c r="D98" s="13" t="str">
        <x:v>工业--电气设备--电气设备Ⅲ--光伏设备</x:v>
      </x:c>
      <x:c r="E98" s="13" t="str">
        <x:v>电气设备</x:v>
      </x:c>
      <x:c r="F98" s="13" t="n">
        <x:v>19346696.57</x:v>
      </x:c>
      <x:c r="G98" s="13" t="n">
        <x:v>-1129167857.67</x:v>
      </x:c>
      <x:c r="H98" s="13" t="n">
        <x:v>42704100006.61</x:v>
      </x:c>
      <x:c r="I98" s="13" t="n">
        <x:v>-143143245.21</x:v>
      </x:c>
      <x:c r="J98" s="13" t="n">
        <x:v>-2718132395.81</x:v>
      </x:c>
      <x:c r="K98" s="13" t="n">
        <x:v>44200249316.2</x:v>
      </x:c>
      <x:c r="L98" s="13" t="n">
        <x:v>50695054524.79</x:v>
      </x:c>
      <x:c r="M98" s="13" t="n">
        <x:v>16566412684.21</x:v>
      </x:c>
      <x:c r="N98" s="13" t="n">
        <x:v>7342305450.51</x:v>
      </x:c>
      <x:c r="O98" s="13" t="n">
        <x:v>3760771652.77</x:v>
      </x:c>
      <x:c r="P98" s="13" t="n">
        <x:v>25395892385.33</x:v>
      </x:c>
      <x:c r="Q98" s="13" t="n">
        <x:v>4042508028.88</x:v>
      </x:c>
      <x:c r="R98" s="13" t="n">
        <x:v>527204925.66</x:v>
      </x:c>
      <x:c r="S98" s="13" t="n">
        <x:v>-0.025988632494964543</x:v>
      </x:c>
      <x:c r="T98" s="13" t="n">
        <x:v>24.511996266652165</x:v>
      </x:c>
      <x:c r="U98" s="13" t="n">
        <x:v>0.006527036894416711</x:v>
      </x:c>
      <x:c r="V98" s="13" t="n">
        <x:v>0.00004260221062107694</x:v>
      </x:c>
      <x:c r="W98" s="13" t="n">
        <x:v>0.14616578354193543</x:v>
      </x:c>
      <x:c r="X98" s="13" t="n">
        <x:v>0.15474539104301796</x:v>
      </x:c>
      <x:c r="Y98" s="13" t="n">
        <x:v>0.28971875112809725</x:v>
      </x:c>
      <x:c r="Z98" s="13" t="n">
        <x:v>0.5745644601154333</x:v>
      </x:c>
      <x:c r="AA98" s="13" t="n">
        <x:v>0.09145894178018506</x:v>
      </x:c>
      <x:c r="AB98" s="13" t="n">
        <x:v>4.40505678455856</x:v>
      </x:c>
      <x:c r="AC98" s="13" t="n">
        <x:v>0.011927645970693025</x:v>
      </x:c>
    </x:row>
    <x:row r="99">
      <x:c r="A99" s="13" t="str">
        <x:v>688506.SH</x:v>
      </x:c>
      <x:c r="B99" s="13" t="str">
        <x:v>百利天恒</x:v>
      </x:c>
      <x:c r="C99" s="13" t="str">
        <x:v>民营企业</x:v>
      </x:c>
      <x:c r="D99" s="13" t="str">
        <x:v>医疗保健--医药生物--制药--西药</x:v>
      </x:c>
      <x:c r="E99" s="13" t="str">
        <x:v>医药生物</x:v>
      </x:c>
      <x:c r="F99" s="13" t="n">
        <x:v>-42777542.96</x:v>
      </x:c>
      <x:c r="G99" s="13" t="n">
        <x:v>-1053617853.77</x:v>
      </x:c>
      <x:c r="H99" s="13" t="n">
        <x:v>11447802237.4</x:v>
      </x:c>
      <x:c r="I99" s="13" t="n">
        <x:v>42523000</x:v>
      </x:c>
      <x:c r="J99" s="13" t="n">
        <x:v>3707505000</x:v>
      </x:c>
      <x:c r="K99" s="13" t="n">
        <x:v>7137359000</x:v>
      </x:c>
      <x:c r="L99" s="13" t="n">
        <x:v>1425099000</x:v>
      </x:c>
      <x:c r="M99" s="13" t="n">
        <x:v>6307206000</x:v>
      </x:c>
      <x:c r="N99" s="13" t="n">
        <x:v>5821050000</x:v>
      </x:c>
      <x:c r="O99" s="13" t="n">
        <x:v>1994656000</x:v>
      </x:c>
      <x:c r="P99" s="13" t="n">
        <x:v>550466000</x:v>
      </x:c>
      <x:c r="Q99" s="13" t="n">
        <x:v>3251434000</x:v>
      </x:c>
      <x:c r="R99" s="13" t="n">
        <x:v>83879000</x:v>
      </x:c>
      <x:c r="S99" s="13" t="n">
        <x:v>-0.09577343965185504</x:v>
      </x:c>
      <x:c r="T99" s="13" t="n">
        <x:v>22.6886086569173</x:v>
      </x:c>
      <x:c r="U99" s="13" t="n">
        <x:v>0.028135542940739836</x:v>
      </x:c>
      <x:c r="V99" s="13" t="n">
        <x:v>0.0007916087765702152</x:v>
      </x:c>
      <x:c r="W99" s="13" t="n">
        <x:v>0.13623235092080122</x:v>
      </x:c>
      <x:c r="X99" s="13" t="n">
        <x:v>1.3596679831889393</x:v>
      </x:c>
      <x:c r="Y99" s="13" t="n">
        <x:v>0.6042220939145698</x:v>
      </x:c>
      <x:c r="Z99" s="13" t="n">
        <x:v>0.07712460589414095</x:v>
      </x:c>
      <x:c r="AA99" s="13" t="n">
        <x:v>0.45555141614706507</x:v>
      </x:c>
      <x:c r="AB99" s="13" t="n">
        <x:v>3.1620520029518873</x:v>
      </x:c>
      <x:c r="AC99" s="13" t="n">
        <x:v>0.011752106066123338</x:v>
      </x:c>
    </x:row>
  </x:sheetData>
  <x:pageMargins left="0.7" right="0.7" top="0.75" bottom="0.75" header="0.3" footer="0.3"/>
  <x:tableParts count="1">
    <x:tablePart xmlns:r="http://schemas.openxmlformats.org/officeDocument/2006/relationships" r:id="Rdd0058e763a744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.789999961853027" hidden="0" customWidth="1"/>
    <x:col min="3" max="3" width="17.6299991607666" hidden="0" customWidth="1"/>
    <x:col min="4" max="4" width="14.800000190734863" hidden="0" customWidth="1"/>
    <x:col min="5" max="5" width="16.81999969482422" hidden="0" customWidth="1"/>
  </x:cols>
  <x:sheetData>
    <x:row r="1">
      <x:c r="A1" s="12" t="str">
        <x:v>二级行业</x:v>
      </x:c>
      <x:c r="B1" s="12" t="str">
        <x:v>公司数</x:v>
      </x:c>
      <x:c r="C1" s="12" t="str">
        <x:v>有效营业收入公司数</x:v>
      </x:c>
      <x:c r="D1" s="28" t="str">
        <x:v>行业总收入_2024</x:v>
      </x:c>
      <x:c r="E1" s="30" t="str">
        <x:v>HHI_2024_二级行业</x:v>
      </x:c>
    </x:row>
    <x:row r="2">
      <x:c r="A2" s="13" t="str">
        <x:v>交通运输</x:v>
      </x:c>
      <x:c r="B2" s="13" t="n">
        <x:f>COUNTIF('计算结果'!$E$2:$E$99,A2)</x:f>
        <x:v>3</x:v>
      </x:c>
      <x:c r="C2" s="13" t="n">
        <x:f>COUNTIFS('计算结果'!$E$2:$E$99,A2,'计算结果'!$N$2:$N$99,"&gt;0")</x:f>
        <x:v>3</x:v>
      </x:c>
      <x:c r="D2" s="13" t="n">
        <x:f>SUMIF('计算结果'!$E$2:$E$99,A2,'计算结果'!$N$2:$N$99)</x:f>
        <x:v>373155632897.86</x:v>
      </x:c>
      <x:c r="E2" s="13" t="n">
        <x:f>SUMIFS('计算结果'!$V$2:$V$99,'计算结果'!$E$2:$E$99,A2)</x:f>
        <x:v>0.6177817572282329</x:v>
      </x:c>
    </x:row>
    <x:row r="3">
      <x:c r="A3" s="13" t="str">
        <x:v>传媒</x:v>
      </x:c>
      <x:c r="B3" s="13" t="n">
        <x:f>COUNTIF('计算结果'!$E$2:$E$99,A3)</x:f>
        <x:v>2</x:v>
      </x:c>
      <x:c r="C3" s="13" t="n">
        <x:f>COUNTIFS('计算结果'!$E$2:$E$99,A3,'计算结果'!$N$2:$N$99,"&gt;0")</x:f>
        <x:v>2</x:v>
      </x:c>
      <x:c r="D3" s="13" t="n">
        <x:f>SUMIF('计算结果'!$E$2:$E$99,A3,'计算结果'!$N$2:$N$99)</x:f>
        <x:v>7241366289.35</x:v>
      </x:c>
      <x:c r="E3" s="13" t="n">
        <x:f>SUMIFS('计算结果'!$V$2:$V$99,'计算结果'!$E$2:$E$99,A3)</x:f>
        <x:v>0.6583800830455426</x:v>
      </x:c>
    </x:row>
    <x:row r="4">
      <x:c r="A4" s="13" t="str">
        <x:v>公用事业Ⅱ</x:v>
      </x:c>
      <x:c r="B4" s="13" t="n">
        <x:f>COUNTIF('计算结果'!$E$2:$E$99,A4)</x:f>
        <x:v>1</x:v>
      </x:c>
      <x:c r="C4" s="13" t="n">
        <x:f>COUNTIFS('计算结果'!$E$2:$E$99,A4,'计算结果'!$N$2:$N$99,"&gt;0")</x:f>
        <x:v>1</x:v>
      </x:c>
      <x:c r="D4" s="13" t="n">
        <x:f>SUMIF('计算结果'!$E$2:$E$99,A4,'计算结果'!$N$2:$N$99)</x:f>
        <x:v>131715000000</x:v>
      </x:c>
      <x:c r="E4" s="13" t="n">
        <x:f>SUMIFS('计算结果'!$V$2:$V$99,'计算结果'!$E$2:$E$99,A4)</x:f>
        <x:v>1</x:v>
      </x:c>
    </x:row>
    <x:row r="5">
      <x:c r="A5" s="13" t="str">
        <x:v>化工</x:v>
      </x:c>
      <x:c r="B5" s="13" t="n">
        <x:f>COUNTIF('计算结果'!$E$2:$E$99,A5)</x:f>
        <x:v>7</x:v>
      </x:c>
      <x:c r="C5" s="13" t="n">
        <x:f>COUNTIFS('计算结果'!$E$2:$E$99,A5,'计算结果'!$N$2:$N$99,"&gt;0")</x:f>
        <x:v>7</x:v>
      </x:c>
      <x:c r="D5" s="13" t="n">
        <x:f>SUMIF('计算结果'!$E$2:$E$99,A5,'计算结果'!$N$2:$N$99)</x:f>
        <x:v>574422098921.09</x:v>
      </x:c>
      <x:c r="E5" s="13" t="n">
        <x:f>SUMIFS('计算结果'!$V$2:$V$99,'计算结果'!$E$2:$E$99,A5)</x:f>
        <x:v>0.3404756158039197</x:v>
      </x:c>
    </x:row>
    <x:row r="6">
      <x:c r="A6" s="13" t="str">
        <x:v>医疗设备与服务</x:v>
      </x:c>
      <x:c r="B6" s="13" t="n">
        <x:f>COUNTIF('计算结果'!$E$2:$E$99,A6)</x:f>
        <x:v>5</x:v>
      </x:c>
      <x:c r="C6" s="13" t="n">
        <x:f>COUNTIFS('计算结果'!$E$2:$E$99,A6,'计算结果'!$N$2:$N$99,"&gt;0")</x:f>
        <x:v>5</x:v>
      </x:c>
      <x:c r="D6" s="13" t="n">
        <x:f>SUMIF('计算结果'!$E$2:$E$99,A6,'计算结果'!$N$2:$N$99)</x:f>
        <x:v>114126437391.49002</x:v>
      </x:c>
      <x:c r="E6" s="13" t="n">
        <x:f>SUMIFS('计算结果'!$V$2:$V$99,'计算结果'!$E$2:$E$99,A6)</x:f>
        <x:v>0.28019975017592524</x:v>
      </x:c>
    </x:row>
    <x:row r="7">
      <x:c r="A7" s="13" t="str">
        <x:v>医药生物</x:v>
      </x:c>
      <x:c r="B7" s="13" t="n">
        <x:f>COUNTIF('计算结果'!$E$2:$E$99,A7)</x:f>
        <x:v>11</x:v>
      </x:c>
      <x:c r="C7" s="13" t="n">
        <x:f>COUNTIFS('计算结果'!$E$2:$E$99,A7,'计算结果'!$N$2:$N$99,"&gt;0")</x:f>
        <x:v>11</x:v>
      </x:c>
      <x:c r="D7" s="13" t="n">
        <x:f>SUMIF('计算结果'!$E$2:$E$99,A7,'计算结果'!$N$2:$N$99)</x:f>
        <x:v>206893110691.36002</x:v>
      </x:c>
      <x:c r="E7" s="13" t="n">
        <x:f>SUMIFS('计算结果'!$V$2:$V$99,'计算结果'!$E$2:$E$99,A7)</x:f>
        <x:v>0.13623235092080122</x:v>
      </x:c>
    </x:row>
    <x:row r="8">
      <x:c r="A8" s="13" t="str">
        <x:v>半导体</x:v>
      </x:c>
      <x:c r="B8" s="13" t="n">
        <x:f>COUNTIF('计算结果'!$E$2:$E$99,A8)</x:f>
        <x:v>8</x:v>
      </x:c>
      <x:c r="C8" s="13" t="n">
        <x:f>COUNTIFS('计算结果'!$E$2:$E$99,A8,'计算结果'!$N$2:$N$99,"&gt;0")</x:f>
        <x:v>8</x:v>
      </x:c>
      <x:c r="D8" s="13" t="n">
        <x:f>SUMIF('计算结果'!$E$2:$E$99,A8,'计算结果'!$N$2:$N$99)</x:f>
        <x:v>56846285084.939995</x:v>
      </x:c>
      <x:c r="E8" s="13" t="n">
        <x:f>SUMIFS('计算结果'!$V$2:$V$99,'计算结果'!$E$2:$E$99,A8)</x:f>
        <x:v>0.27301628783410753</x:v>
      </x:c>
    </x:row>
    <x:row r="9">
      <x:c r="A9" s="13" t="str">
        <x:v>国防军工</x:v>
      </x:c>
      <x:c r="B9" s="13" t="n">
        <x:f>COUNTIF('计算结果'!$E$2:$E$99,A9)</x:f>
        <x:v>1</x:v>
      </x:c>
      <x:c r="C9" s="13" t="n">
        <x:f>COUNTIFS('计算结果'!$E$2:$E$99,A9,'计算结果'!$N$2:$N$99,"&gt;0")</x:f>
        <x:v>1</x:v>
      </x:c>
      <x:c r="D9" s="13" t="n">
        <x:f>SUMIF('计算结果'!$E$2:$E$99,A9,'计算结果'!$N$2:$N$99)</x:f>
        <x:v>1540727178.6</x:v>
      </x:c>
      <x:c r="E9" s="13" t="n">
        <x:f>SUMIFS('计算结果'!$V$2:$V$99,'计算结果'!$E$2:$E$99,A9)</x:f>
        <x:v>1</x:v>
      </x:c>
    </x:row>
    <x:row r="10">
      <x:c r="A10" s="13" t="str">
        <x:v>家电Ⅱ</x:v>
      </x:c>
      <x:c r="B10" s="13" t="n">
        <x:f>COUNTIF('计算结果'!$E$2:$E$99,A10)</x:f>
        <x:v>3</x:v>
      </x:c>
      <x:c r="C10" s="13" t="n">
        <x:f>COUNTIFS('计算结果'!$E$2:$E$99,A10,'计算结果'!$N$2:$N$99,"&gt;0")</x:f>
        <x:v>3</x:v>
      </x:c>
      <x:c r="D10" s="13" t="n">
        <x:f>SUMIF('计算结果'!$E$2:$E$99,A10,'计算结果'!$N$2:$N$99)</x:f>
        <x:v>521677855172.32</x:v>
      </x:c>
      <x:c r="E10" s="13" t="n">
        <x:f>SUMIFS('计算结果'!$V$2:$V$99,'计算结果'!$E$2:$E$99,A10)</x:f>
        <x:v>0.6526875314442925</x:v>
      </x:c>
    </x:row>
    <x:row r="11">
      <x:c r="A11" s="13" t="str">
        <x:v>有色金属</x:v>
      </x:c>
      <x:c r="B11" s="13" t="n">
        <x:f>COUNTIF('计算结果'!$E$2:$E$99,A11)</x:f>
        <x:v>4</x:v>
      </x:c>
      <x:c r="C11" s="13" t="n">
        <x:f>COUNTIFS('计算结果'!$E$2:$E$99,A11,'计算结果'!$N$2:$N$99,"&gt;0")</x:f>
        <x:v>4</x:v>
      </x:c>
      <x:c r="D11" s="13" t="n">
        <x:f>SUMIF('计算结果'!$E$2:$E$99,A11,'计算结果'!$N$2:$N$99)</x:f>
        <x:v>305287352633.83</x:v>
      </x:c>
      <x:c r="E11" s="13" t="n">
        <x:f>SUMIFS('计算结果'!$V$2:$V$99,'计算结果'!$E$2:$E$99,A11)</x:f>
        <x:v>0.5317816081836909</x:v>
      </x:c>
    </x:row>
    <x:row r="12">
      <x:c r="A12" s="13" t="str">
        <x:v>机械</x:v>
      </x:c>
      <x:c r="B12" s="13" t="n">
        <x:f>COUNTIF('计算结果'!$E$2:$E$99,A12)</x:f>
        <x:v>3</x:v>
      </x:c>
      <x:c r="C12" s="13" t="n">
        <x:f>COUNTIFS('计算结果'!$E$2:$E$99,A12,'计算结果'!$N$2:$N$99,"&gt;0")</x:f>
        <x:v>3</x:v>
      </x:c>
      <x:c r="D12" s="13" t="n">
        <x:f>SUMIF('计算结果'!$E$2:$E$99,A12,'计算结果'!$N$2:$N$99)</x:f>
        <x:v>115630201329.97</x:v>
      </x:c>
      <x:c r="E12" s="13" t="n">
        <x:f>SUMIFS('计算结果'!$V$2:$V$99,'计算结果'!$E$2:$E$99,A12)</x:f>
        <x:v>0.5244055085518771</x:v>
      </x:c>
    </x:row>
    <x:row r="13">
      <x:c r="A13" s="13" t="str">
        <x:v>汽车与零配件</x:v>
      </x:c>
      <x:c r="B13" s="13" t="n">
        <x:f>COUNTIF('计算结果'!$E$2:$E$99,A13)</x:f>
        <x:v>5</x:v>
      </x:c>
      <x:c r="C13" s="13" t="n">
        <x:f>COUNTIFS('计算结果'!$E$2:$E$99,A13,'计算结果'!$N$2:$N$99,"&gt;0")</x:f>
        <x:v>5</x:v>
      </x:c>
      <x:c r="D13" s="13" t="n">
        <x:f>SUMIF('计算结果'!$E$2:$E$99,A13,'计算结果'!$N$2:$N$99)</x:f>
        <x:v>1192871992048.92</x:v>
      </x:c>
      <x:c r="E13" s="13" t="n">
        <x:f>SUMIFS('计算结果'!$V$2:$V$99,'计算结果'!$E$2:$E$99,A13)</x:f>
        <x:v>0.4695797494099714</x:v>
      </x:c>
    </x:row>
    <x:row r="14">
      <x:c r="A14" s="13" t="str">
        <x:v>电气设备</x:v>
      </x:c>
      <x:c r="B14" s="13" t="n">
        <x:f>COUNTIF('计算结果'!$E$2:$E$99,A14)</x:f>
        <x:v>16</x:v>
      </x:c>
      <x:c r="C14" s="13" t="n">
        <x:f>COUNTIFS('计算结果'!$E$2:$E$99,A14,'计算结果'!$N$2:$N$99,"&gt;0")</x:f>
        <x:v>16</x:v>
      </x:c>
      <x:c r="D14" s="13" t="n">
        <x:f>SUMIF('计算结果'!$E$2:$E$99,A14,'计算结果'!$N$2:$N$99)</x:f>
        <x:v>1124906380840.39</x:v>
      </x:c>
      <x:c r="E14" s="13" t="n">
        <x:f>SUMIFS('计算结果'!$V$2:$V$99,'计算结果'!$E$2:$E$99,A14)</x:f>
        <x:v>0.14616578354193543</x:v>
      </x:c>
    </x:row>
    <x:row r="15">
      <x:c r="A15" s="13" t="str">
        <x:v>石油石化</x:v>
      </x:c>
      <x:c r="B15" s="13" t="n">
        <x:f>COUNTIF('计算结果'!$E$2:$E$99,A15)</x:f>
        <x:v>1</x:v>
      </x:c>
      <x:c r="C15" s="13" t="n">
        <x:f>COUNTIFS('计算结果'!$E$2:$E$99,A15,'计算结果'!$N$2:$N$99,"&gt;0")</x:f>
        <x:v>1</x:v>
      </x:c>
      <x:c r="D15" s="13" t="n">
        <x:f>SUMIF('计算结果'!$E$2:$E$99,A15,'计算结果'!$N$2:$N$99)</x:f>
        <x:v>229849668623.04</x:v>
      </x:c>
      <x:c r="E15" s="13" t="n">
        <x:f>SUMIFS('计算结果'!$V$2:$V$99,'计算结果'!$E$2:$E$99,A15)</x:f>
        <x:v>1</x:v>
      </x:c>
    </x:row>
    <x:row r="16">
      <x:c r="A16" s="13" t="str">
        <x:v>硬件设备</x:v>
      </x:c>
      <x:c r="B16" s="13" t="n">
        <x:f>COUNTIF('计算结果'!$E$2:$E$99,A16)</x:f>
        <x:v>14</x:v>
      </x:c>
      <x:c r="C16" s="13" t="n">
        <x:f>COUNTIFS('计算结果'!$E$2:$E$99,A16,'计算结果'!$N$2:$N$99,"&gt;0")</x:f>
        <x:v>14</x:v>
      </x:c>
      <x:c r="D16" s="13" t="n">
        <x:f>SUMIF('计算结果'!$E$2:$E$99,A16,'计算结果'!$N$2:$N$99)</x:f>
        <x:v>493238303170.84</x:v>
      </x:c>
      <x:c r="E16" s="13" t="n">
        <x:f>SUMIFS('计算结果'!$V$2:$V$99,'计算结果'!$E$2:$E$99,A16)</x:f>
        <x:v>0.12235054081259594</x:v>
      </x:c>
    </x:row>
    <x:row r="17">
      <x:c r="A17" s="13" t="str">
        <x:v>软件服务</x:v>
      </x:c>
      <x:c r="B17" s="13" t="n">
        <x:f>COUNTIF('计算结果'!$E$2:$E$99,A17)</x:f>
        <x:v>8</x:v>
      </x:c>
      <x:c r="C17" s="13" t="n">
        <x:f>COUNTIFS('计算结果'!$E$2:$E$99,A17,'计算结果'!$N$2:$N$99,"&gt;0")</x:f>
        <x:v>8</x:v>
      </x:c>
      <x:c r="D17" s="13" t="n">
        <x:f>SUMIF('计算结果'!$E$2:$E$99,A17,'计算结果'!$N$2:$N$99)</x:f>
        <x:v>85739009163.51</x:v>
      </x:c>
      <x:c r="E17" s="13" t="n">
        <x:f>SUMIFS('计算结果'!$V$2:$V$99,'计算结果'!$E$2:$E$99,A17)</x:f>
        <x:v>0.23288063539086398</x:v>
      </x:c>
    </x:row>
    <x:row r="18">
      <x:c r="A18" s="13" t="str">
        <x:v>食品饮料</x:v>
      </x:c>
      <x:c r="B18" s="13" t="n">
        <x:f>COUNTIF('计算结果'!$E$2:$E$99,A18)</x:f>
        <x:v>6</x:v>
      </x:c>
      <x:c r="C18" s="13" t="n">
        <x:f>COUNTIFS('计算结果'!$E$2:$E$99,A18,'计算结果'!$N$2:$N$99,"&gt;0")</x:f>
        <x:v>6</x:v>
      </x:c>
      <x:c r="D18" s="13" t="n">
        <x:f>SUMIF('计算结果'!$E$2:$E$99,A18,'计算结果'!$N$2:$N$99)</x:f>
        <x:v>502721673348.63995</x:v>
      </x:c>
      <x:c r="E18" s="13" t="n">
        <x:f>SUMIFS('计算结果'!$V$2:$V$99,'计算结果'!$E$2:$E$99,A18)</x:f>
        <x:v>0.21624588016252744</x:v>
      </x:c>
    </x:row>
  </x:sheetData>
  <x:pageMargins left="0.7" right="0.7" top="0.75" bottom="0.75" header="0.3" footer="0.3"/>
  <x:tableParts count="1">
    <x:tablePart xmlns:r="http://schemas.openxmlformats.org/officeDocument/2006/relationships" r:id="R32ba141b16f74a4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6" t="str">
        <x:v>项目</x:v>
      </x:c>
      <x:c r="B1" s="20" t="str">
        <x:v>说明</x:v>
      </x:c>
    </x:row>
    <x:row r="2">
      <x:c r="A2" s="13" t="str">
        <x:v>数据源</x:v>
      </x:c>
      <x:c r="B2" s="13" t="str">
        <x:v>csi_ns.csv</x:v>
      </x:c>
    </x:row>
    <x:row r="3">
      <x:c r="A3" s="13" t="str">
        <x:v>二级行业处理</x:v>
      </x:c>
      <x:c r="B3" s="13" t="str">
        <x:v>将“所属Wind行业名称(2024)”按“--”拆分，只保留第二级行业作为 HHI/MarketShare 分组依据。例：通讯服务--传媒--娱乐--电影和娱乐 → 传媒。</x:v>
      </x:c>
    </x:row>
    <x:row r="4">
      <x:c r="A4" s="13" t="str">
        <x:v>2025 EBI/A</x:v>
      </x:c>
      <x:c r="B4" s="13" t="str">
        <x:v>(归属母公司股东的净利润_2025 + 利息支出_2025) / 资产总计_2025</x:v>
      </x:c>
    </x:row>
    <x:row r="5">
      <x:c r="A5" s="13" t="str">
        <x:v>FirmSize_2024</x:v>
      </x:c>
      <x:c r="B5" s="13" t="str">
        <x:v>LN(资产总计_2024)</x:v>
      </x:c>
    </x:row>
    <x:row r="6">
      <x:c r="A6" s="13" t="str">
        <x:v>MarketShare_2024_二级行业</x:v>
      </x:c>
      <x:c r="B6" s="13" t="str">
        <x:v>公司营业收入_2024 / 同一二级行业全部公司营业收入_2024之和</x:v>
      </x:c>
    </x:row>
    <x:row r="7">
      <x:c r="A7" s="13" t="str">
        <x:v>HHI_2024_二级行业</x:v>
      </x:c>
      <x:c r="B7" s="13" t="str">
        <x:v>同一二级行业内 MarketShare^2 的加总</x:v>
      </x:c>
    </x:row>
    <x:row r="8">
      <x:c r="A8" s="13" t="str">
        <x:v>AssetTurnover_2024</x:v>
      </x:c>
      <x:c r="B8" s="13" t="str">
        <x:v>营业收入_2024 / ((资产总计_2024 + 资产总计_2023) / 2)</x:v>
      </x:c>
    </x:row>
    <x:row r="9">
      <x:c r="A9" s="13" t="str">
        <x:v>WorkingCapitalRatio_2024</x:v>
      </x:c>
      <x:c r="B9" s="13" t="str">
        <x:v>(流动资产合计_2024 - 流动负债合计_2024) / 资产总计_2024</x:v>
      </x:c>
    </x:row>
    <x:row r="10">
      <x:c r="A10" s="13" t="str">
        <x:v>FixedAssetsRatio_2024</x:v>
      </x:c>
      <x:c r="B10" s="13" t="str">
        <x:v>固定资产净值_2024 / 资产总计_2024</x:v>
      </x:c>
    </x:row>
    <x:row r="11">
      <x:c r="A11" s="13" t="str">
        <x:v>FinancialLeverage_2024</x:v>
      </x:c>
      <x:c r="B11" s="13" t="str">
        <x:v>负债合计_2024 / 资产总计_2024</x:v>
      </x:c>
    </x:row>
    <x:row r="12">
      <x:c r="A12" s="13" t="str">
        <x:v>CurrentRatio_2024</x:v>
      </x:c>
      <x:c r="B12" s="13" t="str">
        <x:v>流动资产合计_2024 / 流动负债合计_2024</x:v>
      </x:c>
    </x:row>
    <x:row r="13">
      <x:c r="A13" s="13" t="str">
        <x:v>CapexRatio_2024</x:v>
      </x:c>
      <x:c r="B13" s="13" t="str">
        <x:v>资本性支出_2024 / 资产总计_2024</x:v>
      </x:c>
    </x:row>
    <x:row r="14">
      <x:c r="A14" s="13" t="str">
        <x:v>Revenue Growth Rate</x:v>
      </x:c>
      <x:c r="B14" s="13" t="str">
        <x:v>按你的要求，本次不计算 Revenue Growth Rate。</x:v>
      </x:c>
    </x:row>
    <x:row r="15">
      <x:c r="A15" s="13" t="str">
        <x:v>空缺处理</x:v>
      </x:c>
      <x:c r="B15" s="13" t="str">
        <x:v>分母为 0 或缺失时结果留空；资本性支出缺失时 CapexRatio 留空。</x:v>
      </x:c>
    </x:row>
  </x:sheetData>
  <x:pageMargins left="0.7" right="0.7" top="0.75" bottom="0.75" header="0.3" footer="0.3"/>
</x:worksheet>
</file>